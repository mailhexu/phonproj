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11\"/>
    </mc:Choice>
  </mc:AlternateContent>
  <xr:revisionPtr revIDLastSave="0" documentId="13_ncr:1_{F5658CC5-3358-4C8C-897E-628A188D25E8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8" l="1"/>
  <c r="L33" i="8"/>
  <c r="K33" i="8"/>
  <c r="J33" i="8"/>
  <c r="N33" i="8" s="1"/>
  <c r="O33" i="8" s="1"/>
  <c r="R33" i="8" s="1"/>
  <c r="M32" i="8"/>
  <c r="L32" i="8"/>
  <c r="K32" i="8"/>
  <c r="J32" i="8"/>
  <c r="N32" i="8" s="1"/>
  <c r="O32" i="8" s="1"/>
  <c r="R32" i="8" s="1"/>
  <c r="M31" i="8"/>
  <c r="L31" i="8"/>
  <c r="K31" i="8"/>
  <c r="J31" i="8"/>
  <c r="N31" i="8" s="1"/>
  <c r="O31" i="8" s="1"/>
  <c r="R31" i="8" s="1"/>
  <c r="N30" i="8"/>
  <c r="O30" i="8" s="1"/>
  <c r="R30" i="8" s="1"/>
  <c r="M30" i="8"/>
  <c r="L30" i="8"/>
  <c r="K30" i="8"/>
  <c r="J30" i="8"/>
  <c r="M29" i="8"/>
  <c r="N29" i="8" s="1"/>
  <c r="O29" i="8" s="1"/>
  <c r="R29" i="8" s="1"/>
  <c r="L29" i="8"/>
  <c r="K29" i="8"/>
  <c r="J29" i="8"/>
  <c r="M28" i="8"/>
  <c r="L28" i="8"/>
  <c r="K28" i="8"/>
  <c r="J28" i="8"/>
  <c r="N28" i="8" s="1"/>
  <c r="O28" i="8" s="1"/>
  <c r="R28" i="8" s="1"/>
  <c r="M27" i="8"/>
  <c r="L27" i="8"/>
  <c r="K27" i="8"/>
  <c r="N27" i="8" s="1"/>
  <c r="O27" i="8" s="1"/>
  <c r="R27" i="8" s="1"/>
  <c r="J27" i="8"/>
  <c r="M26" i="8"/>
  <c r="L26" i="8"/>
  <c r="K26" i="8"/>
  <c r="J26" i="8"/>
  <c r="N26" i="8" s="1"/>
  <c r="O26" i="8" s="1"/>
  <c r="R26" i="8" s="1"/>
  <c r="M25" i="8"/>
  <c r="L25" i="8"/>
  <c r="K25" i="8"/>
  <c r="J25" i="8"/>
  <c r="N25" i="8" s="1"/>
  <c r="O25" i="8" s="1"/>
  <c r="R25" i="8" s="1"/>
  <c r="M24" i="8"/>
  <c r="L24" i="8"/>
  <c r="K24" i="8"/>
  <c r="N24" i="8" s="1"/>
  <c r="O24" i="8" s="1"/>
  <c r="R24" i="8" s="1"/>
  <c r="J24" i="8"/>
  <c r="M23" i="8"/>
  <c r="L23" i="8"/>
  <c r="K23" i="8"/>
  <c r="J23" i="8"/>
  <c r="N23" i="8" s="1"/>
  <c r="O23" i="8" s="1"/>
  <c r="R23" i="8" s="1"/>
  <c r="N22" i="8"/>
  <c r="O22" i="8" s="1"/>
  <c r="R22" i="8" s="1"/>
  <c r="M22" i="8"/>
  <c r="L22" i="8"/>
  <c r="K22" i="8"/>
  <c r="J22" i="8"/>
  <c r="M21" i="8"/>
  <c r="N21" i="8" s="1"/>
  <c r="O21" i="8" s="1"/>
  <c r="R21" i="8" s="1"/>
  <c r="L21" i="8"/>
  <c r="K21" i="8"/>
  <c r="J21" i="8"/>
  <c r="M20" i="8"/>
  <c r="L20" i="8"/>
  <c r="K20" i="8"/>
  <c r="J20" i="8"/>
  <c r="N20" i="8" s="1"/>
  <c r="O20" i="8" s="1"/>
  <c r="R20" i="8" s="1"/>
  <c r="M19" i="8"/>
  <c r="L19" i="8"/>
  <c r="K19" i="8"/>
  <c r="N19" i="8" s="1"/>
  <c r="O19" i="8" s="1"/>
  <c r="R19" i="8" s="1"/>
  <c r="J19" i="8"/>
  <c r="M18" i="8"/>
  <c r="L18" i="8"/>
  <c r="K18" i="8"/>
  <c r="J18" i="8"/>
  <c r="N18" i="8" s="1"/>
  <c r="O18" i="8" s="1"/>
  <c r="R18" i="8" s="1"/>
  <c r="M17" i="8"/>
  <c r="L17" i="8"/>
  <c r="K17" i="8"/>
  <c r="J17" i="8"/>
  <c r="N17" i="8" s="1"/>
  <c r="O17" i="8" s="1"/>
  <c r="R17" i="8" s="1"/>
  <c r="M16" i="8"/>
  <c r="L16" i="8"/>
  <c r="K16" i="8"/>
  <c r="N16" i="8" s="1"/>
  <c r="O16" i="8" s="1"/>
  <c r="R16" i="8" s="1"/>
  <c r="J16" i="8"/>
  <c r="M15" i="8"/>
  <c r="L15" i="8"/>
  <c r="K15" i="8"/>
  <c r="J15" i="8"/>
  <c r="N15" i="8" s="1"/>
  <c r="O15" i="8" s="1"/>
  <c r="R15" i="8" s="1"/>
  <c r="N14" i="8"/>
  <c r="O14" i="8" s="1"/>
  <c r="R14" i="8" s="1"/>
  <c r="M14" i="8"/>
  <c r="L14" i="8"/>
  <c r="K14" i="8"/>
  <c r="J14" i="8"/>
  <c r="M13" i="8"/>
  <c r="N13" i="8" s="1"/>
  <c r="O13" i="8" s="1"/>
  <c r="R13" i="8" s="1"/>
  <c r="L13" i="8"/>
  <c r="K13" i="8"/>
  <c r="J13" i="8"/>
  <c r="M12" i="8"/>
  <c r="L12" i="8"/>
  <c r="K12" i="8"/>
  <c r="J12" i="8"/>
  <c r="N12" i="8" s="1"/>
  <c r="O12" i="8" s="1"/>
  <c r="R12" i="8" s="1"/>
  <c r="M11" i="8"/>
  <c r="L11" i="8"/>
  <c r="K11" i="8"/>
  <c r="N11" i="8" s="1"/>
  <c r="O11" i="8" s="1"/>
  <c r="R11" i="8" s="1"/>
  <c r="J11" i="8"/>
  <c r="M10" i="8"/>
  <c r="L10" i="8"/>
  <c r="K10" i="8"/>
  <c r="J10" i="8"/>
  <c r="N10" i="8" s="1"/>
  <c r="O10" i="8" s="1"/>
  <c r="R10" i="8" s="1"/>
  <c r="M9" i="8"/>
  <c r="L9" i="8"/>
  <c r="K9" i="8"/>
  <c r="J9" i="8"/>
  <c r="N9" i="8" s="1"/>
  <c r="O9" i="8" s="1"/>
  <c r="R9" i="8" s="1"/>
  <c r="M8" i="8"/>
  <c r="L8" i="8"/>
  <c r="K8" i="8"/>
  <c r="N8" i="8" s="1"/>
  <c r="O8" i="8" s="1"/>
  <c r="R8" i="8" s="1"/>
  <c r="J8" i="8"/>
  <c r="M7" i="8"/>
  <c r="L7" i="8"/>
  <c r="K7" i="8"/>
  <c r="J7" i="8"/>
  <c r="N7" i="8" s="1"/>
  <c r="O7" i="8" s="1"/>
  <c r="R7" i="8" s="1"/>
  <c r="N6" i="8"/>
  <c r="O6" i="8" s="1"/>
  <c r="R6" i="8" s="1"/>
  <c r="M6" i="8"/>
  <c r="L6" i="8"/>
  <c r="K6" i="8"/>
  <c r="J6" i="8"/>
  <c r="M5" i="8"/>
  <c r="N5" i="8" s="1"/>
  <c r="O5" i="8" s="1"/>
  <c r="R5" i="8" s="1"/>
  <c r="L5" i="8"/>
  <c r="K5" i="8"/>
  <c r="J5" i="8"/>
  <c r="M4" i="8"/>
  <c r="L4" i="8"/>
  <c r="K4" i="8"/>
  <c r="J4" i="8"/>
  <c r="N4" i="8" s="1"/>
  <c r="O4" i="8" s="1"/>
  <c r="R4" i="8" s="1"/>
  <c r="M3" i="8"/>
  <c r="L3" i="8"/>
  <c r="K3" i="8"/>
  <c r="N3" i="8" s="1"/>
  <c r="O3" i="8" s="1"/>
  <c r="R3" i="8" s="1"/>
  <c r="J3" i="8"/>
  <c r="M2" i="8"/>
  <c r="L2" i="8"/>
  <c r="K2" i="8"/>
  <c r="J2" i="8"/>
  <c r="N2" i="8" s="1"/>
  <c r="O2" i="8" s="1"/>
  <c r="R2" i="8" s="1"/>
  <c r="F2" i="7"/>
  <c r="G2" i="7" s="1"/>
  <c r="I2" i="7" s="1"/>
  <c r="F3" i="7"/>
  <c r="G3" i="7"/>
  <c r="I3" i="7" s="1"/>
  <c r="F4" i="7"/>
  <c r="G4" i="7"/>
  <c r="I4" i="7" s="1"/>
  <c r="F5" i="7"/>
  <c r="G5" i="7" s="1"/>
  <c r="I5" i="7" s="1"/>
  <c r="F6" i="7"/>
  <c r="G6" i="7" s="1"/>
  <c r="I6" i="7" s="1"/>
  <c r="F7" i="7"/>
  <c r="G7" i="7" s="1"/>
  <c r="I7" i="7" s="1"/>
  <c r="F8" i="7"/>
  <c r="G8" i="7" s="1"/>
  <c r="I8" i="7" s="1"/>
  <c r="F9" i="7"/>
  <c r="G9" i="7" s="1"/>
  <c r="I9" i="7" s="1"/>
  <c r="F10" i="7"/>
  <c r="G10" i="7" s="1"/>
  <c r="I10" i="7" s="1"/>
  <c r="F11" i="7"/>
  <c r="G11" i="7"/>
  <c r="I11" i="7" s="1"/>
  <c r="F12" i="7"/>
  <c r="G12" i="7"/>
  <c r="I12" i="7" s="1"/>
  <c r="F13" i="7"/>
  <c r="G13" i="7"/>
  <c r="I13" i="7" s="1"/>
  <c r="F14" i="7"/>
  <c r="G14" i="7" s="1"/>
  <c r="I14" i="7" s="1"/>
  <c r="F15" i="7"/>
  <c r="G15" i="7" s="1"/>
  <c r="I15" i="7" s="1"/>
  <c r="F16" i="7"/>
  <c r="G16" i="7" s="1"/>
  <c r="I16" i="7" s="1"/>
  <c r="F17" i="7"/>
  <c r="G17" i="7" s="1"/>
  <c r="I17" i="7" s="1"/>
  <c r="F18" i="7"/>
  <c r="G18" i="7" s="1"/>
  <c r="I18" i="7" s="1"/>
  <c r="F19" i="7"/>
  <c r="G19" i="7"/>
  <c r="I19" i="7" s="1"/>
  <c r="F20" i="7"/>
  <c r="G20" i="7"/>
  <c r="I20" i="7" s="1"/>
  <c r="F21" i="7"/>
  <c r="G21" i="7" s="1"/>
  <c r="I21" i="7" s="1"/>
  <c r="F22" i="7"/>
  <c r="G22" i="7" s="1"/>
  <c r="I22" i="7" s="1"/>
  <c r="F23" i="7"/>
  <c r="G23" i="7" s="1"/>
  <c r="I23" i="7" s="1"/>
  <c r="F24" i="7"/>
  <c r="G24" i="7" s="1"/>
  <c r="I24" i="7" s="1"/>
  <c r="F25" i="7"/>
  <c r="G25" i="7" s="1"/>
  <c r="I25" i="7" s="1"/>
  <c r="F26" i="7"/>
  <c r="G26" i="7" s="1"/>
  <c r="I26" i="7" s="1"/>
  <c r="F27" i="7"/>
  <c r="G27" i="7"/>
  <c r="I27" i="7" s="1"/>
  <c r="F28" i="7"/>
  <c r="G28" i="7"/>
  <c r="I28" i="7" s="1"/>
  <c r="F29" i="7"/>
  <c r="G29" i="7" s="1"/>
  <c r="I29" i="7" s="1"/>
  <c r="F30" i="7"/>
  <c r="G30" i="7" s="1"/>
  <c r="I30" i="7" s="1"/>
  <c r="F31" i="7"/>
  <c r="G31" i="7" s="1"/>
  <c r="I31" i="7" s="1"/>
  <c r="F32" i="7"/>
  <c r="G32" i="7"/>
  <c r="I32" i="7"/>
  <c r="F33" i="7"/>
  <c r="G33" i="7" s="1"/>
  <c r="I33" i="7" s="1"/>
  <c r="I32" i="6"/>
  <c r="I22" i="6"/>
  <c r="I24" i="6"/>
  <c r="I20" i="6"/>
  <c r="I16" i="6"/>
  <c r="I18" i="6"/>
  <c r="I6" i="6"/>
  <c r="I8" i="6"/>
  <c r="I4" i="6"/>
  <c r="I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H24" i="6"/>
  <c r="I23" i="6"/>
  <c r="H23" i="6"/>
  <c r="H22" i="6"/>
  <c r="I21" i="6"/>
  <c r="H21" i="6"/>
  <c r="H20" i="6"/>
  <c r="I19" i="6"/>
  <c r="H19" i="6"/>
  <c r="H18" i="6"/>
  <c r="I17" i="6"/>
  <c r="H17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H8" i="6"/>
  <c r="I7" i="6"/>
  <c r="H7" i="6"/>
  <c r="H6" i="6"/>
  <c r="I5" i="6"/>
  <c r="H5" i="6"/>
  <c r="H4" i="6"/>
  <c r="I3" i="6"/>
  <c r="H3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14" i="3"/>
  <c r="I20" i="3"/>
  <c r="I24" i="3"/>
  <c r="I30" i="3"/>
  <c r="I22" i="3"/>
  <c r="I4" i="3"/>
  <c r="I8" i="3"/>
  <c r="I6" i="3"/>
  <c r="I32" i="3"/>
  <c r="H32" i="3"/>
  <c r="I31" i="3"/>
  <c r="H31" i="3"/>
  <c r="H30" i="3"/>
  <c r="I29" i="3"/>
  <c r="H29" i="3"/>
  <c r="I28" i="3"/>
  <c r="H28" i="3"/>
  <c r="I27" i="3"/>
  <c r="H27" i="3"/>
  <c r="I26" i="3"/>
  <c r="H26" i="3"/>
  <c r="I25" i="3"/>
  <c r="H25" i="3"/>
  <c r="H24" i="3"/>
  <c r="I23" i="3"/>
  <c r="H23" i="3"/>
  <c r="H22" i="3"/>
  <c r="I21" i="3"/>
  <c r="H21" i="3"/>
  <c r="H20" i="3"/>
  <c r="I19" i="3"/>
  <c r="H19" i="3"/>
  <c r="I18" i="3"/>
  <c r="H18" i="3"/>
  <c r="I17" i="3"/>
  <c r="H17" i="3"/>
  <c r="I16" i="3"/>
  <c r="H16" i="3"/>
  <c r="I15" i="3"/>
  <c r="H15" i="3"/>
  <c r="H14" i="3"/>
  <c r="I13" i="3"/>
  <c r="H13" i="3"/>
  <c r="I12" i="3"/>
  <c r="H12" i="3"/>
  <c r="I11" i="3"/>
  <c r="H11" i="3"/>
  <c r="I10" i="3"/>
  <c r="H10" i="3"/>
  <c r="I9" i="3"/>
  <c r="H9" i="3"/>
  <c r="H8" i="3"/>
  <c r="I7" i="3"/>
  <c r="H7" i="3"/>
  <c r="H6" i="3"/>
  <c r="I5" i="3"/>
  <c r="H5" i="3"/>
  <c r="H4" i="3"/>
  <c r="I3" i="3"/>
  <c r="H3" i="3"/>
  <c r="I2" i="3"/>
  <c r="H2" i="3"/>
  <c r="I1" i="3"/>
  <c r="H1" i="3"/>
  <c r="I25" i="2"/>
  <c r="I21" i="2"/>
  <c r="I17" i="2"/>
  <c r="I9" i="2"/>
  <c r="I19" i="2"/>
  <c r="I5" i="2"/>
  <c r="I3" i="2"/>
  <c r="I1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H25" i="2"/>
  <c r="I24" i="2"/>
  <c r="H24" i="2"/>
  <c r="I23" i="2"/>
  <c r="H23" i="2"/>
  <c r="I22" i="2"/>
  <c r="H22" i="2"/>
  <c r="H21" i="2"/>
  <c r="I20" i="2"/>
  <c r="H20" i="2"/>
  <c r="H19" i="2"/>
  <c r="I18" i="2"/>
  <c r="H18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H9" i="2"/>
  <c r="I8" i="2"/>
  <c r="H8" i="2"/>
  <c r="I7" i="2"/>
  <c r="H7" i="2"/>
  <c r="I6" i="2"/>
  <c r="H6" i="2"/>
  <c r="H5" i="2"/>
  <c r="I4" i="2"/>
  <c r="H4" i="2"/>
  <c r="H3" i="2"/>
  <c r="I2" i="2"/>
  <c r="H2" i="2"/>
  <c r="H1" i="2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<sst xmlns="http://schemas.openxmlformats.org/spreadsheetml/2006/main" count="8" uniqueCount="4">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</sst>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8"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32D6-A039-4BD6-8488-4C693F89C1C9}">
  <dimension ref="A1:I32"/>
  <sheetViews>
    <sheetView workbookViewId="0">
      <selection activeCell="H1" sqref="H1:I1048576"/>
    </sheetView>
  </sheetViews>
  <sheetFormatPr defaultRowHeight="14" x14ac:dyDescent="0.3"/>
  <sheetData>
    <row r="1" spans="1:9" x14ac:dyDescent="0.3">
      <c r="A1">
        <v>1.2E-4</v>
      </c>
      <c r="B1">
        <v>8.4999999999999995E-4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</f>
        <v>8.4999999999999995E-4</v>
      </c>
    </row>
    <row r="2" spans="1:9" x14ac:dyDescent="0.3">
      <c r="A2">
        <v>3.1369999000000003E-2</v>
      </c>
      <c r="B2">
        <v>0.50106000900000003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1.0600090000000284E-3</v>
      </c>
    </row>
    <row r="3" spans="1:9" x14ac:dyDescent="0.3">
      <c r="A3">
        <v>6.2619998999999996E-2</v>
      </c>
      <c r="B3">
        <v>0.997969985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B3-F3-1</f>
        <v>-2.0300149999999961E-3</v>
      </c>
    </row>
    <row r="4" spans="1:9" x14ac:dyDescent="0.3">
      <c r="A4">
        <v>9.3869998999999996E-2</v>
      </c>
      <c r="B4">
        <v>0.50119000700000005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1.1900070000000484E-3</v>
      </c>
    </row>
    <row r="5" spans="1:9" x14ac:dyDescent="0.3">
      <c r="A5">
        <v>0.12511999900000001</v>
      </c>
      <c r="B5">
        <v>6.9999999999999999E-4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 t="shared" si="0"/>
        <v>6.9999999999999999E-4</v>
      </c>
    </row>
    <row r="6" spans="1:9" x14ac:dyDescent="0.3">
      <c r="A6">
        <v>0.15636999900000001</v>
      </c>
      <c r="B6">
        <v>0.498030007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-1.9699930000000032E-3</v>
      </c>
    </row>
    <row r="7" spans="1:9" x14ac:dyDescent="0.3">
      <c r="A7">
        <v>0.18761999900000001</v>
      </c>
      <c r="B7">
        <v>1.49E-3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 t="shared" si="0"/>
        <v>1.49E-3</v>
      </c>
    </row>
    <row r="8" spans="1:9" x14ac:dyDescent="0.3">
      <c r="A8">
        <v>0.21886999900000001</v>
      </c>
      <c r="B8">
        <v>0.50032001699999995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3.2001699999995026E-4</v>
      </c>
    </row>
    <row r="9" spans="1:9" x14ac:dyDescent="0.3">
      <c r="A9">
        <v>0.250120014</v>
      </c>
      <c r="B9">
        <v>0.99816000500000002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>B9-F9-1</f>
        <v>-1.8399949999999832E-3</v>
      </c>
    </row>
    <row r="10" spans="1:9" x14ac:dyDescent="0.3">
      <c r="A10">
        <v>0.281370014</v>
      </c>
      <c r="B10">
        <v>0.50173002499999997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1.7300249999999684E-3</v>
      </c>
    </row>
    <row r="11" spans="1:9" x14ac:dyDescent="0.3">
      <c r="A11">
        <v>0.312620014</v>
      </c>
      <c r="B11">
        <v>0.99992001100000005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>B11-F11-1</f>
        <v>-7.9988999999947019E-5</v>
      </c>
    </row>
    <row r="12" spans="1:9" x14ac:dyDescent="0.3">
      <c r="A12">
        <v>0.343870014</v>
      </c>
      <c r="B12">
        <v>0.49836000800000002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-1.639991999999979E-3</v>
      </c>
    </row>
    <row r="13" spans="1:9" x14ac:dyDescent="0.3">
      <c r="A13">
        <v>0.375120014</v>
      </c>
      <c r="B13">
        <v>1.9E-3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1.9E-3</v>
      </c>
    </row>
    <row r="14" spans="1:9" x14ac:dyDescent="0.3">
      <c r="A14">
        <v>0.406370014</v>
      </c>
      <c r="B14">
        <v>0.49952998799999998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-4.7001200000001964E-4</v>
      </c>
    </row>
    <row r="15" spans="1:9" x14ac:dyDescent="0.3">
      <c r="A15">
        <v>0.437620014</v>
      </c>
      <c r="B15">
        <v>0.99861997400000002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>B15-F15-1</f>
        <v>-1.3800259999999787E-3</v>
      </c>
    </row>
    <row r="16" spans="1:9" x14ac:dyDescent="0.3">
      <c r="A16">
        <v>0.468870014</v>
      </c>
      <c r="B16">
        <v>0.50199997399999996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1.99997399999996E-3</v>
      </c>
    </row>
    <row r="17" spans="1:9" x14ac:dyDescent="0.3">
      <c r="A17">
        <v>0.50011998400000002</v>
      </c>
      <c r="B17">
        <v>0.99914997800000005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>B17-F17-1</f>
        <v>-8.5002199999995032E-4</v>
      </c>
    </row>
    <row r="18" spans="1:9" x14ac:dyDescent="0.3">
      <c r="A18">
        <v>0.53136998400000002</v>
      </c>
      <c r="B18">
        <v>0.49893999100000003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-1.0600089999999729E-3</v>
      </c>
    </row>
    <row r="19" spans="1:9" x14ac:dyDescent="0.3">
      <c r="A19">
        <v>0.56261998400000002</v>
      </c>
      <c r="B19">
        <v>2.0300000000000001E-3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 t="shared" si="0"/>
        <v>2.0300000000000001E-3</v>
      </c>
    </row>
    <row r="20" spans="1:9" x14ac:dyDescent="0.3">
      <c r="A20">
        <v>0.59386998400000002</v>
      </c>
      <c r="B20">
        <v>0.49880999300000001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-1.1900069999999929E-3</v>
      </c>
    </row>
    <row r="21" spans="1:9" x14ac:dyDescent="0.3">
      <c r="A21">
        <v>0.62511998400000002</v>
      </c>
      <c r="B21">
        <v>0.99930000299999999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>B21-F21-1</f>
        <v>-6.9999700000000775E-4</v>
      </c>
    </row>
    <row r="22" spans="1:9" x14ac:dyDescent="0.3">
      <c r="A22">
        <v>0.65636998400000002</v>
      </c>
      <c r="B22">
        <v>0.501969993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1.9699930000000032E-3</v>
      </c>
    </row>
    <row r="23" spans="1:9" x14ac:dyDescent="0.3">
      <c r="A23">
        <v>0.68761998400000002</v>
      </c>
      <c r="B23">
        <v>0.99851000300000003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B23-F23-1</f>
        <v>-1.4899969999999652E-3</v>
      </c>
    </row>
    <row r="24" spans="1:9" x14ac:dyDescent="0.3">
      <c r="A24">
        <v>0.71886998400000002</v>
      </c>
      <c r="B24">
        <v>0.49967998299999999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-3.2001700000000577E-4</v>
      </c>
    </row>
    <row r="25" spans="1:9" x14ac:dyDescent="0.3">
      <c r="A25">
        <v>0.75012004399999999</v>
      </c>
      <c r="B25">
        <v>1.8400000000000001E-3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</f>
        <v>1.8400000000000001E-3</v>
      </c>
    </row>
    <row r="26" spans="1:9" x14ac:dyDescent="0.3">
      <c r="A26">
        <v>0.78137004399999999</v>
      </c>
      <c r="B26">
        <v>0.49826997499999998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-1.7300250000000239E-3</v>
      </c>
    </row>
    <row r="27" spans="1:9" x14ac:dyDescent="0.3">
      <c r="A27">
        <v>0.81262004399999999</v>
      </c>
      <c r="B27">
        <v>8.0000000000000007E-5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</f>
        <v>8.0000000000000007E-5</v>
      </c>
    </row>
    <row r="28" spans="1:9" x14ac:dyDescent="0.3">
      <c r="A28">
        <v>0.84387004399999999</v>
      </c>
      <c r="B28">
        <v>0.50163996200000005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1.6399620000000503E-3</v>
      </c>
    </row>
    <row r="29" spans="1:9" x14ac:dyDescent="0.3">
      <c r="A29">
        <v>0.87512004399999999</v>
      </c>
      <c r="B29">
        <v>0.99809998300000002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-1.9000169999999761E-3</v>
      </c>
    </row>
    <row r="30" spans="1:9" x14ac:dyDescent="0.3">
      <c r="A30">
        <v>0.90637004399999999</v>
      </c>
      <c r="B30">
        <v>0.500470042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4.7004200000000385E-4</v>
      </c>
    </row>
    <row r="31" spans="1:9" x14ac:dyDescent="0.3">
      <c r="A31">
        <v>0.93762004399999999</v>
      </c>
      <c r="B31">
        <v>1.3799999999999999E-3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</f>
        <v>1.3799999999999999E-3</v>
      </c>
    </row>
    <row r="32" spans="1:9" x14ac:dyDescent="0.3">
      <c r="A32">
        <v>0.96886998400000002</v>
      </c>
      <c r="B32">
        <v>0.497999996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-2.0000039999999997E-3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4966-8E5A-4E5B-A0A7-A2FDA531D8AD}">
  <dimension ref="A1:I32"/>
  <sheetViews>
    <sheetView topLeftCell="A12" workbookViewId="0">
      <selection activeCell="H12" sqref="H1:I1048576"/>
    </sheetView>
  </sheetViews>
  <sheetFormatPr defaultRowHeight="14" x14ac:dyDescent="0.3"/>
  <cols>
    <col min="9" max="9" width="12.4140625" bestFit="1" customWidth="1"/>
  </cols>
  <sheetData>
    <row r="1" spans="1:9" x14ac:dyDescent="0.3">
      <c r="A1">
        <v>1.2E-4</v>
      </c>
      <c r="B1">
        <v>0.50041997400000005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4.1997400000004514E-4</v>
      </c>
    </row>
    <row r="2" spans="1:9" x14ac:dyDescent="0.3">
      <c r="A2">
        <v>3.1369999000000003E-2</v>
      </c>
      <c r="B2">
        <v>3.2000000000000003E-4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</f>
        <v>3.2000000000000003E-4</v>
      </c>
    </row>
    <row r="3" spans="1:9" x14ac:dyDescent="0.3">
      <c r="A3">
        <v>6.2619998999999996E-2</v>
      </c>
      <c r="B3">
        <v>0.49922001399999999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-7.7998600000001028E-4</v>
      </c>
    </row>
    <row r="4" spans="1:9" x14ac:dyDescent="0.3">
      <c r="A4">
        <v>9.3869998999999996E-2</v>
      </c>
      <c r="B4">
        <v>5.4000000000000001E-4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 t="shared" si="0"/>
        <v>5.4000000000000001E-4</v>
      </c>
    </row>
    <row r="5" spans="1:9" x14ac:dyDescent="0.3">
      <c r="A5">
        <v>0.12511999900000001</v>
      </c>
      <c r="B5">
        <v>0.50016999200000001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1.6999200000000769E-4</v>
      </c>
    </row>
    <row r="6" spans="1:9" x14ac:dyDescent="0.3">
      <c r="A6">
        <v>0.15636999900000001</v>
      </c>
      <c r="B6">
        <v>0.99926000800000003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>B6-F6-1</f>
        <v>-7.3999199999996712E-4</v>
      </c>
    </row>
    <row r="7" spans="1:9" x14ac:dyDescent="0.3">
      <c r="A7">
        <v>0.18761999900000001</v>
      </c>
      <c r="B7">
        <v>0.50063997500000001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6.3997500000001484E-4</v>
      </c>
    </row>
    <row r="8" spans="1:9" x14ac:dyDescent="0.3">
      <c r="A8">
        <v>0.21886999900000001</v>
      </c>
      <c r="B8">
        <v>2.0000000000000002E-5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 t="shared" si="0"/>
        <v>2.0000000000000002E-5</v>
      </c>
    </row>
    <row r="9" spans="1:9" x14ac:dyDescent="0.3">
      <c r="A9">
        <v>0.250120014</v>
      </c>
      <c r="B9">
        <v>0.49933001399999999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-6.6998600000001129E-4</v>
      </c>
    </row>
    <row r="10" spans="1:9" x14ac:dyDescent="0.3">
      <c r="A10">
        <v>0.281370014</v>
      </c>
      <c r="B10">
        <v>7.2000000000000005E-4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 t="shared" si="0"/>
        <v>7.2000000000000005E-4</v>
      </c>
    </row>
    <row r="11" spans="1:9" x14ac:dyDescent="0.3">
      <c r="A11">
        <v>0.312620014</v>
      </c>
      <c r="B11">
        <v>0.49987000199999998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-1.2999800000002004E-4</v>
      </c>
    </row>
    <row r="12" spans="1:9" x14ac:dyDescent="0.3">
      <c r="A12">
        <v>0.343870014</v>
      </c>
      <c r="B12">
        <v>0.99943000100000001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>B12-F12-1</f>
        <v>-5.6999899999998771E-4</v>
      </c>
    </row>
    <row r="13" spans="1:9" x14ac:dyDescent="0.3">
      <c r="A13">
        <v>0.375120014</v>
      </c>
      <c r="B13">
        <v>0.50076997300000003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7.6997300000003488E-4</v>
      </c>
    </row>
    <row r="14" spans="1:9" x14ac:dyDescent="0.3">
      <c r="A14">
        <v>0.406370014</v>
      </c>
      <c r="B14">
        <v>0.99971997700000004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>B14-F14-1</f>
        <v>-2.8002299999996261E-4</v>
      </c>
    </row>
    <row r="15" spans="1:9" x14ac:dyDescent="0.3">
      <c r="A15">
        <v>0.437620014</v>
      </c>
      <c r="B15">
        <v>0.49955001500000001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-4.4998499999998609E-4</v>
      </c>
    </row>
    <row r="16" spans="1:9" x14ac:dyDescent="0.3">
      <c r="A16">
        <v>0.468870014</v>
      </c>
      <c r="B16">
        <v>7.9000000000000001E-4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 t="shared" si="0"/>
        <v>7.9000000000000001E-4</v>
      </c>
    </row>
    <row r="17" spans="1:9" x14ac:dyDescent="0.3">
      <c r="A17">
        <v>0.50011998400000002</v>
      </c>
      <c r="B17">
        <v>0.49958002600000001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-4.1997399999998963E-4</v>
      </c>
    </row>
    <row r="18" spans="1:9" x14ac:dyDescent="0.3">
      <c r="A18">
        <v>0.53136998400000002</v>
      </c>
      <c r="B18">
        <v>0.99967998300000005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>B18-F18-1</f>
        <v>-3.2001699999995026E-4</v>
      </c>
    </row>
    <row r="19" spans="1:9" x14ac:dyDescent="0.3">
      <c r="A19">
        <v>0.56261998400000002</v>
      </c>
      <c r="B19">
        <v>0.50077998599999995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7.7998599999995477E-4</v>
      </c>
    </row>
    <row r="20" spans="1:9" x14ac:dyDescent="0.3">
      <c r="A20">
        <v>0.59386998400000002</v>
      </c>
      <c r="B20">
        <v>0.99945998199999997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>B20-F20-1</f>
        <v>-5.4001800000003097E-4</v>
      </c>
    </row>
    <row r="21" spans="1:9" x14ac:dyDescent="0.3">
      <c r="A21">
        <v>0.62511998400000002</v>
      </c>
      <c r="B21">
        <v>0.49983000799999999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-1.6999200000000769E-4</v>
      </c>
    </row>
    <row r="22" spans="1:9" x14ac:dyDescent="0.3">
      <c r="A22">
        <v>0.65636998400000002</v>
      </c>
      <c r="B22">
        <v>7.3999999999999999E-4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 t="shared" si="0"/>
        <v>7.3999999999999999E-4</v>
      </c>
    </row>
    <row r="23" spans="1:9" x14ac:dyDescent="0.3">
      <c r="A23">
        <v>0.68761998400000002</v>
      </c>
      <c r="B23">
        <v>0.49936002499999999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-6.3997500000001484E-4</v>
      </c>
    </row>
    <row r="24" spans="1:9" x14ac:dyDescent="0.3">
      <c r="A24">
        <v>0.71886998400000002</v>
      </c>
      <c r="B24">
        <v>0.99997997299999997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B24-F24-1</f>
        <v>-2.0027000000033546E-5</v>
      </c>
    </row>
    <row r="25" spans="1:9" x14ac:dyDescent="0.3">
      <c r="A25">
        <v>0.75012004399999999</v>
      </c>
      <c r="B25">
        <v>0.50066995599999997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6.6995599999997157E-4</v>
      </c>
    </row>
    <row r="26" spans="1:9" x14ac:dyDescent="0.3">
      <c r="A26">
        <v>0.78137004399999999</v>
      </c>
      <c r="B26">
        <v>0.99927997599999996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B26-F26-1</f>
        <v>-7.200240000000413E-4</v>
      </c>
    </row>
    <row r="27" spans="1:9" x14ac:dyDescent="0.3">
      <c r="A27">
        <v>0.81262004399999999</v>
      </c>
      <c r="B27">
        <v>0.50012999800000002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1.2999800000002004E-4</v>
      </c>
    </row>
    <row r="28" spans="1:9" x14ac:dyDescent="0.3">
      <c r="A28">
        <v>0.84387004399999999</v>
      </c>
      <c r="B28">
        <v>5.6999999999999998E-4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</f>
        <v>5.6999999999999998E-4</v>
      </c>
    </row>
    <row r="29" spans="1:9" x14ac:dyDescent="0.3">
      <c r="A29">
        <v>0.87512004399999999</v>
      </c>
      <c r="B29">
        <v>0.49923002700000002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-7.6997299999997937E-4</v>
      </c>
    </row>
    <row r="30" spans="1:9" x14ac:dyDescent="0.3">
      <c r="A30">
        <v>0.90637004399999999</v>
      </c>
      <c r="B30">
        <v>2.7999999999999998E-4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 t="shared" si="0"/>
        <v>2.7999999999999998E-4</v>
      </c>
    </row>
    <row r="31" spans="1:9" x14ac:dyDescent="0.3">
      <c r="A31">
        <v>0.93762004399999999</v>
      </c>
      <c r="B31">
        <v>0.50045001499999997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4.500149999999703E-4</v>
      </c>
    </row>
    <row r="32" spans="1:9" x14ac:dyDescent="0.3">
      <c r="A32">
        <v>0.96887004399999999</v>
      </c>
      <c r="B32">
        <v>0.99921000000000004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B32-F32-1</f>
        <v>-7.899999999999574E-4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CF94-454B-4AF7-8F26-9ECDF6AB40B7}">
  <dimension ref="A1:L32"/>
  <sheetViews>
    <sheetView workbookViewId="0">
      <selection activeCell="H1" sqref="H1:I1048576"/>
    </sheetView>
  </sheetViews>
  <sheetFormatPr defaultRowHeight="14" x14ac:dyDescent="0.3"/>
  <sheetData>
    <row r="1" spans="1:12" x14ac:dyDescent="0.3">
      <c r="A1">
        <v>1.572001E-2</v>
      </c>
      <c r="B1">
        <v>0.249480009</v>
      </c>
      <c r="C1">
        <v>0.5</v>
      </c>
      <c r="E1">
        <v>1.5739976999999999E-2</v>
      </c>
      <c r="F1">
        <v>0.25</v>
      </c>
      <c r="G1">
        <v>0.5</v>
      </c>
      <c r="H1">
        <f>A1-E1</f>
        <v>-1.9966999999999208E-5</v>
      </c>
      <c r="I1">
        <f>B1-F1</f>
        <v>-5.1999099999999743E-4</v>
      </c>
      <c r="J1">
        <v>-5.1999099999999743E-4</v>
      </c>
      <c r="K1">
        <f>SUM(I1:J1)</f>
        <v>-1.0399819999999949E-3</v>
      </c>
      <c r="L1">
        <f>K1/2</f>
        <v>-5.1999099999999743E-4</v>
      </c>
    </row>
    <row r="2" spans="1:12" x14ac:dyDescent="0.3">
      <c r="A2">
        <v>4.6969998999999998E-2</v>
      </c>
      <c r="B2">
        <v>0.25005999200000001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-2.0000999999998659E-5</v>
      </c>
      <c r="I2">
        <f t="shared" si="0"/>
        <v>5.9992000000008705E-5</v>
      </c>
      <c r="J2">
        <v>6.0021999999992914E-5</v>
      </c>
      <c r="K2">
        <f t="shared" ref="K2:K32" si="1">SUM(I2:J2)</f>
        <v>1.2001400000000162E-4</v>
      </c>
      <c r="L2">
        <f t="shared" ref="L2:L32" si="2">K2/2</f>
        <v>6.000700000000081E-5</v>
      </c>
    </row>
    <row r="3" spans="1:12" x14ac:dyDescent="0.3">
      <c r="A3">
        <v>7.8239977000000002E-2</v>
      </c>
      <c r="B3">
        <v>0.25045001500000003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0</v>
      </c>
      <c r="I3">
        <f t="shared" si="0"/>
        <v>4.5001500000002581E-4</v>
      </c>
      <c r="J3">
        <v>4.500149999999703E-4</v>
      </c>
      <c r="K3">
        <f t="shared" si="1"/>
        <v>9.0002999999999611E-4</v>
      </c>
      <c r="L3">
        <f t="shared" si="2"/>
        <v>4.5001499999999806E-4</v>
      </c>
    </row>
    <row r="4" spans="1:12" x14ac:dyDescent="0.3">
      <c r="A4">
        <v>0.109509997</v>
      </c>
      <c r="B4">
        <v>0.249439999</v>
      </c>
      <c r="C4">
        <v>0.5</v>
      </c>
      <c r="E4">
        <v>0.10949</v>
      </c>
      <c r="F4">
        <v>0.25</v>
      </c>
      <c r="G4">
        <v>0.5</v>
      </c>
      <c r="H4">
        <f t="shared" si="0"/>
        <v>1.9996999999993825E-5</v>
      </c>
      <c r="I4">
        <f t="shared" si="0"/>
        <v>-5.6000100000000441E-4</v>
      </c>
      <c r="J4">
        <v>-5.599859999999568E-4</v>
      </c>
      <c r="K4">
        <f t="shared" si="1"/>
        <v>-1.1199869999999612E-3</v>
      </c>
      <c r="L4">
        <f t="shared" si="2"/>
        <v>-5.599934999999806E-4</v>
      </c>
    </row>
    <row r="5" spans="1:12" x14ac:dyDescent="0.3">
      <c r="A5">
        <v>0.140770018</v>
      </c>
      <c r="B5">
        <v>0.25016999200000001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3.0041000000008422E-5</v>
      </c>
      <c r="I5">
        <f t="shared" si="0"/>
        <v>1.6999200000000769E-4</v>
      </c>
      <c r="J5">
        <v>1.6999200000000769E-4</v>
      </c>
      <c r="K5">
        <f t="shared" si="1"/>
        <v>3.3998400000001539E-4</v>
      </c>
      <c r="L5">
        <f t="shared" si="2"/>
        <v>1.6999200000000769E-4</v>
      </c>
    </row>
    <row r="6" spans="1:12" x14ac:dyDescent="0.3">
      <c r="A6">
        <v>0.17200000600000001</v>
      </c>
      <c r="B6">
        <v>0.25036999599999998</v>
      </c>
      <c r="C6">
        <v>0.5</v>
      </c>
      <c r="E6">
        <v>0.171990007</v>
      </c>
      <c r="F6">
        <v>0.25</v>
      </c>
      <c r="G6">
        <v>0.5</v>
      </c>
      <c r="H6">
        <f t="shared" si="0"/>
        <v>9.9990000000105272E-6</v>
      </c>
      <c r="I6">
        <f t="shared" si="0"/>
        <v>3.6999599999998356E-4</v>
      </c>
      <c r="J6">
        <v>3.7002600000002328E-4</v>
      </c>
      <c r="K6">
        <f t="shared" si="1"/>
        <v>7.4002200000000684E-4</v>
      </c>
      <c r="L6">
        <f t="shared" si="2"/>
        <v>3.7001100000000342E-4</v>
      </c>
    </row>
    <row r="7" spans="1:12" x14ac:dyDescent="0.3">
      <c r="A7">
        <v>0.20322001000000001</v>
      </c>
      <c r="B7">
        <v>0.24941998700000001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-1.996699999998186E-5</v>
      </c>
      <c r="I7">
        <f t="shared" si="0"/>
        <v>-5.8001299999999034E-4</v>
      </c>
      <c r="J7">
        <v>-5.8001299999999034E-4</v>
      </c>
      <c r="K7">
        <f t="shared" si="1"/>
        <v>-1.1600259999999807E-3</v>
      </c>
      <c r="L7">
        <f t="shared" si="2"/>
        <v>-5.8001299999999034E-4</v>
      </c>
    </row>
    <row r="8" spans="1:12" x14ac:dyDescent="0.3">
      <c r="A8">
        <v>0.23446999499999999</v>
      </c>
      <c r="B8">
        <v>0.25027999299999998</v>
      </c>
      <c r="C8">
        <v>0.5</v>
      </c>
      <c r="E8">
        <v>0.234490007</v>
      </c>
      <c r="F8">
        <v>0.25</v>
      </c>
      <c r="G8">
        <v>0.5</v>
      </c>
      <c r="H8">
        <f t="shared" si="0"/>
        <v>-2.0012000000013686E-5</v>
      </c>
      <c r="I8">
        <f t="shared" si="0"/>
        <v>2.799929999999784E-4</v>
      </c>
      <c r="J8">
        <v>2.8002299999996261E-4</v>
      </c>
      <c r="K8">
        <f t="shared" si="1"/>
        <v>5.6001599999994101E-4</v>
      </c>
      <c r="L8">
        <f t="shared" si="2"/>
        <v>2.800079999999705E-4</v>
      </c>
    </row>
    <row r="9" spans="1:12" x14ac:dyDescent="0.3">
      <c r="A9">
        <v>0.26573002299999998</v>
      </c>
      <c r="B9">
        <v>0.25027000900000002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-9.9540000000342133E-6</v>
      </c>
      <c r="I9">
        <f t="shared" si="0"/>
        <v>2.7000900000001549E-4</v>
      </c>
      <c r="J9">
        <v>2.7000899999995998E-4</v>
      </c>
      <c r="K9">
        <f t="shared" si="1"/>
        <v>5.4001799999997546E-4</v>
      </c>
      <c r="L9">
        <f t="shared" si="2"/>
        <v>2.7000899999998773E-4</v>
      </c>
    </row>
    <row r="10" spans="1:12" x14ac:dyDescent="0.3">
      <c r="A10">
        <v>0.29701000500000002</v>
      </c>
      <c r="B10">
        <v>0.249420002</v>
      </c>
      <c r="C10">
        <v>0.5</v>
      </c>
      <c r="E10">
        <v>0.296990007</v>
      </c>
      <c r="F10">
        <v>0.25</v>
      </c>
      <c r="G10">
        <v>0.5</v>
      </c>
      <c r="H10">
        <f t="shared" si="0"/>
        <v>1.9998000000021054E-5</v>
      </c>
      <c r="I10">
        <f t="shared" si="0"/>
        <v>-5.7999799999999824E-4</v>
      </c>
      <c r="J10">
        <v>-5.8001299999999034E-4</v>
      </c>
      <c r="K10">
        <f t="shared" si="1"/>
        <v>-1.1600109999999886E-3</v>
      </c>
      <c r="L10">
        <f t="shared" si="2"/>
        <v>-5.8000549999999429E-4</v>
      </c>
    </row>
    <row r="11" spans="1:12" x14ac:dyDescent="0.3">
      <c r="A11">
        <v>0.328270018</v>
      </c>
      <c r="B11">
        <v>0.25037002600000002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3.0040999999980667E-5</v>
      </c>
      <c r="I11">
        <f t="shared" si="0"/>
        <v>3.7002600000002328E-4</v>
      </c>
      <c r="J11">
        <v>3.7002600000002328E-4</v>
      </c>
      <c r="K11">
        <f t="shared" si="1"/>
        <v>7.4005200000004656E-4</v>
      </c>
      <c r="L11">
        <f t="shared" si="2"/>
        <v>3.7002600000002328E-4</v>
      </c>
    </row>
    <row r="12" spans="1:12" x14ac:dyDescent="0.3">
      <c r="A12">
        <v>0.35951000500000002</v>
      </c>
      <c r="B12">
        <v>0.25016999200000001</v>
      </c>
      <c r="C12">
        <v>0.5</v>
      </c>
      <c r="E12">
        <v>0.359490007</v>
      </c>
      <c r="F12">
        <v>0.25</v>
      </c>
      <c r="G12">
        <v>0.5</v>
      </c>
      <c r="H12">
        <f t="shared" si="0"/>
        <v>1.9998000000021054E-5</v>
      </c>
      <c r="I12">
        <f t="shared" si="0"/>
        <v>1.6999200000000769E-4</v>
      </c>
      <c r="J12">
        <v>1.6999200000000769E-4</v>
      </c>
      <c r="K12">
        <f t="shared" si="1"/>
        <v>3.3998400000001539E-4</v>
      </c>
      <c r="L12">
        <f t="shared" si="2"/>
        <v>1.6999200000000769E-4</v>
      </c>
    </row>
    <row r="13" spans="1:12" x14ac:dyDescent="0.3">
      <c r="A13">
        <v>0.39073002299999998</v>
      </c>
      <c r="B13">
        <v>0.24944001399999999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-9.9540000000342133E-6</v>
      </c>
      <c r="I13">
        <f t="shared" si="0"/>
        <v>-5.5998600000001231E-4</v>
      </c>
      <c r="J13">
        <v>-5.599859999999568E-4</v>
      </c>
      <c r="K13">
        <f t="shared" si="1"/>
        <v>-1.1199719999999691E-3</v>
      </c>
      <c r="L13">
        <f t="shared" si="2"/>
        <v>-5.5998599999998455E-4</v>
      </c>
    </row>
    <row r="14" spans="1:12" x14ac:dyDescent="0.3">
      <c r="A14">
        <v>0.42197001000000001</v>
      </c>
      <c r="B14">
        <v>0.25044998499999999</v>
      </c>
      <c r="C14">
        <v>0.5</v>
      </c>
      <c r="E14">
        <v>0.421990007</v>
      </c>
      <c r="F14">
        <v>0.25</v>
      </c>
      <c r="G14">
        <v>0.5</v>
      </c>
      <c r="H14">
        <f t="shared" si="0"/>
        <v>-1.9996999999993825E-5</v>
      </c>
      <c r="I14">
        <f t="shared" si="0"/>
        <v>4.4998499999998609E-4</v>
      </c>
      <c r="J14">
        <v>4.500149999999703E-4</v>
      </c>
      <c r="K14">
        <f t="shared" si="1"/>
        <v>8.9999999999995639E-4</v>
      </c>
      <c r="L14">
        <f t="shared" si="2"/>
        <v>4.499999999999782E-4</v>
      </c>
    </row>
    <row r="15" spans="1:12" x14ac:dyDescent="0.3">
      <c r="A15">
        <v>0.45322001000000001</v>
      </c>
      <c r="B15">
        <v>0.25005000799999999</v>
      </c>
      <c r="C15">
        <v>0.5</v>
      </c>
      <c r="E15">
        <v>0.453240007</v>
      </c>
      <c r="F15">
        <v>0.25</v>
      </c>
      <c r="G15">
        <v>0.5</v>
      </c>
      <c r="H15">
        <f t="shared" si="0"/>
        <v>-1.9996999999993825E-5</v>
      </c>
      <c r="I15">
        <f t="shared" si="0"/>
        <v>5.0007999999990282E-5</v>
      </c>
      <c r="J15">
        <v>5.0007999999990282E-5</v>
      </c>
      <c r="K15">
        <f t="shared" si="1"/>
        <v>1.0001599999998056E-4</v>
      </c>
      <c r="L15">
        <f t="shared" si="2"/>
        <v>5.0007999999990282E-5</v>
      </c>
    </row>
    <row r="16" spans="1:12" x14ac:dyDescent="0.3">
      <c r="A16">
        <v>0.48449999100000002</v>
      </c>
      <c r="B16">
        <v>0.24948999299999999</v>
      </c>
      <c r="C16">
        <v>0.5</v>
      </c>
      <c r="E16">
        <v>0.484490007</v>
      </c>
      <c r="F16">
        <v>0.25</v>
      </c>
      <c r="G16">
        <v>0.5</v>
      </c>
      <c r="H16">
        <f t="shared" si="0"/>
        <v>9.9840000000184226E-6</v>
      </c>
      <c r="I16">
        <f t="shared" si="0"/>
        <v>-5.1000700000000676E-4</v>
      </c>
      <c r="J16">
        <v>-5.099769999999948E-4</v>
      </c>
      <c r="K16">
        <f t="shared" si="1"/>
        <v>-1.0199840000000016E-3</v>
      </c>
      <c r="L16">
        <f t="shared" si="2"/>
        <v>-5.0999200000000078E-4</v>
      </c>
    </row>
    <row r="17" spans="1:12" x14ac:dyDescent="0.3">
      <c r="A17">
        <v>0.515770018</v>
      </c>
      <c r="B17">
        <v>0.250519991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3.0041000000036178E-5</v>
      </c>
      <c r="I17">
        <f t="shared" si="0"/>
        <v>5.1999099999999743E-4</v>
      </c>
      <c r="J17">
        <v>5.1999099999999743E-4</v>
      </c>
      <c r="K17">
        <f t="shared" si="1"/>
        <v>1.0399819999999949E-3</v>
      </c>
      <c r="L17">
        <f t="shared" si="2"/>
        <v>5.1999099999999743E-4</v>
      </c>
    </row>
    <row r="18" spans="1:12" x14ac:dyDescent="0.3">
      <c r="A18">
        <v>0.54701000499999997</v>
      </c>
      <c r="B18">
        <v>0.249939993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2.0028000000005264E-5</v>
      </c>
      <c r="I18">
        <f t="shared" si="0"/>
        <v>-6.000700000000081E-5</v>
      </c>
      <c r="J18">
        <v>-5.9962000000024496E-5</v>
      </c>
      <c r="K18">
        <f t="shared" si="1"/>
        <v>-1.1996900000002531E-4</v>
      </c>
      <c r="L18">
        <f t="shared" si="2"/>
        <v>-5.9984500000012653E-5</v>
      </c>
    </row>
    <row r="19" spans="1:12" x14ac:dyDescent="0.3">
      <c r="A19">
        <v>0.57823997699999996</v>
      </c>
      <c r="B19">
        <v>0.249549985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0</v>
      </c>
      <c r="I19">
        <f t="shared" si="0"/>
        <v>-4.5001499999999806E-4</v>
      </c>
      <c r="J19">
        <v>-4.500149999999703E-4</v>
      </c>
      <c r="K19">
        <f t="shared" si="1"/>
        <v>-9.0002999999996836E-4</v>
      </c>
      <c r="L19">
        <f t="shared" si="2"/>
        <v>-4.5001499999998418E-4</v>
      </c>
    </row>
    <row r="20" spans="1:12" x14ac:dyDescent="0.3">
      <c r="A20">
        <v>0.60947001000000001</v>
      </c>
      <c r="B20">
        <v>0.25055998600000001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-1.9966999999954105E-5</v>
      </c>
      <c r="I20">
        <f t="shared" si="0"/>
        <v>5.5998600000001231E-4</v>
      </c>
      <c r="J20">
        <v>5.599859999999568E-4</v>
      </c>
      <c r="K20">
        <f t="shared" si="1"/>
        <v>1.1199719999999691E-3</v>
      </c>
      <c r="L20">
        <f t="shared" si="2"/>
        <v>5.5998599999998455E-4</v>
      </c>
    </row>
    <row r="21" spans="1:12" x14ac:dyDescent="0.3">
      <c r="A21">
        <v>0.64072001000000001</v>
      </c>
      <c r="B21">
        <v>0.24983000799999999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-2.0027000000033546E-5</v>
      </c>
      <c r="I21">
        <f t="shared" si="0"/>
        <v>-1.6999200000000769E-4</v>
      </c>
      <c r="J21">
        <v>-1.6999200000000769E-4</v>
      </c>
      <c r="K21">
        <f t="shared" si="1"/>
        <v>-3.3998400000001539E-4</v>
      </c>
      <c r="L21">
        <f t="shared" si="2"/>
        <v>-1.6999200000000769E-4</v>
      </c>
    </row>
    <row r="22" spans="1:12" x14ac:dyDescent="0.3">
      <c r="A22">
        <v>0.67198997699999996</v>
      </c>
      <c r="B22">
        <v>0.24963000399999999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0</v>
      </c>
      <c r="I22">
        <f t="shared" si="0"/>
        <v>-3.6999600000001132E-4</v>
      </c>
      <c r="J22">
        <v>-3.7002600000002328E-4</v>
      </c>
      <c r="K22">
        <f t="shared" si="1"/>
        <v>-7.400220000000346E-4</v>
      </c>
      <c r="L22">
        <f t="shared" si="2"/>
        <v>-3.700110000000173E-4</v>
      </c>
    </row>
    <row r="23" spans="1:12" x14ac:dyDescent="0.3">
      <c r="A23">
        <v>0.70326000499999997</v>
      </c>
      <c r="B23">
        <v>0.25058001299999999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1.9967999999925823E-5</v>
      </c>
      <c r="I23">
        <f t="shared" si="0"/>
        <v>5.8001299999999034E-4</v>
      </c>
      <c r="J23">
        <v>5.8001299999999034E-4</v>
      </c>
      <c r="K23">
        <f t="shared" si="1"/>
        <v>1.1600259999999807E-3</v>
      </c>
      <c r="L23">
        <f t="shared" si="2"/>
        <v>5.8001299999999034E-4</v>
      </c>
    </row>
    <row r="24" spans="1:12" x14ac:dyDescent="0.3">
      <c r="A24">
        <v>0.734520018</v>
      </c>
      <c r="B24">
        <v>0.24972000699999999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3.0041000000036178E-5</v>
      </c>
      <c r="I24">
        <f t="shared" si="0"/>
        <v>-2.7999300000000615E-4</v>
      </c>
      <c r="J24">
        <v>-2.8002299999996261E-4</v>
      </c>
      <c r="K24">
        <f t="shared" si="1"/>
        <v>-5.6001599999996876E-4</v>
      </c>
      <c r="L24">
        <f t="shared" si="2"/>
        <v>-2.8000799999998438E-4</v>
      </c>
    </row>
    <row r="25" spans="1:12" x14ac:dyDescent="0.3">
      <c r="A25">
        <v>0.76574999099999996</v>
      </c>
      <c r="B25">
        <v>0.24972999100000001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9.953999999923191E-6</v>
      </c>
      <c r="I25">
        <f t="shared" si="0"/>
        <v>-2.7000899999998773E-4</v>
      </c>
      <c r="J25">
        <v>-2.7000899999995998E-4</v>
      </c>
      <c r="K25">
        <f t="shared" si="1"/>
        <v>-5.4001799999994771E-4</v>
      </c>
      <c r="L25">
        <f t="shared" si="2"/>
        <v>-2.7000899999997385E-4</v>
      </c>
    </row>
    <row r="26" spans="1:12" x14ac:dyDescent="0.3">
      <c r="A26">
        <v>0.79698002300000004</v>
      </c>
      <c r="B26">
        <v>0.25058001299999999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-9.953999999923191E-6</v>
      </c>
      <c r="I26">
        <f t="shared" si="0"/>
        <v>5.8001299999999034E-4</v>
      </c>
      <c r="J26">
        <v>5.8001299999999034E-4</v>
      </c>
      <c r="K26">
        <f t="shared" si="1"/>
        <v>1.1600259999999807E-3</v>
      </c>
      <c r="L26">
        <f t="shared" si="2"/>
        <v>5.8001299999999034E-4</v>
      </c>
    </row>
    <row r="27" spans="1:12" x14ac:dyDescent="0.3">
      <c r="A27">
        <v>0.82822001000000001</v>
      </c>
      <c r="B27">
        <v>0.249629974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-3.7002599999999553E-4</v>
      </c>
      <c r="J27">
        <v>-3.7002600000002328E-4</v>
      </c>
      <c r="K27">
        <f t="shared" si="1"/>
        <v>-7.4005200000001881E-4</v>
      </c>
      <c r="L27">
        <f t="shared" si="2"/>
        <v>-3.700260000000094E-4</v>
      </c>
    </row>
    <row r="28" spans="1:12" x14ac:dyDescent="0.3">
      <c r="A28">
        <v>0.85948002300000004</v>
      </c>
      <c r="B28">
        <v>0.249829993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-9.953999999923191E-6</v>
      </c>
      <c r="I28">
        <f t="shared" si="0"/>
        <v>-1.700069999999998E-4</v>
      </c>
      <c r="J28">
        <v>-1.6999200000000769E-4</v>
      </c>
      <c r="K28">
        <f t="shared" si="1"/>
        <v>-3.3999900000000749E-4</v>
      </c>
      <c r="L28">
        <f t="shared" si="2"/>
        <v>-1.6999950000000374E-4</v>
      </c>
    </row>
    <row r="29" spans="1:12" x14ac:dyDescent="0.3">
      <c r="A29">
        <v>0.89074999099999996</v>
      </c>
      <c r="B29">
        <v>0.25055998600000001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9.953999999923191E-6</v>
      </c>
      <c r="I29">
        <f t="shared" si="0"/>
        <v>5.5998600000001231E-4</v>
      </c>
      <c r="J29">
        <v>5.599859999999568E-4</v>
      </c>
      <c r="K29">
        <f t="shared" si="1"/>
        <v>1.1199719999999691E-3</v>
      </c>
      <c r="L29">
        <f t="shared" si="2"/>
        <v>5.5998599999998455E-4</v>
      </c>
    </row>
    <row r="30" spans="1:12" x14ac:dyDescent="0.3">
      <c r="A30">
        <v>0.922020018</v>
      </c>
      <c r="B30">
        <v>0.24954999999999999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3.0041000000036178E-5</v>
      </c>
      <c r="I30">
        <f t="shared" si="0"/>
        <v>-4.5000000000000595E-4</v>
      </c>
      <c r="J30">
        <v>-4.500149999999703E-4</v>
      </c>
      <c r="K30">
        <f t="shared" si="1"/>
        <v>-9.0001499999997625E-4</v>
      </c>
      <c r="L30">
        <f t="shared" si="2"/>
        <v>-4.5000749999998813E-4</v>
      </c>
    </row>
    <row r="31" spans="1:12" x14ac:dyDescent="0.3">
      <c r="A31">
        <v>0.95326000499999997</v>
      </c>
      <c r="B31">
        <v>0.24994999200000001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1.9967999999925823E-5</v>
      </c>
      <c r="I31">
        <f t="shared" si="0"/>
        <v>-5.0007999999990282E-5</v>
      </c>
      <c r="J31">
        <v>-5.0007999999990282E-5</v>
      </c>
      <c r="K31">
        <f t="shared" si="1"/>
        <v>-1.0001599999998056E-4</v>
      </c>
      <c r="L31">
        <f t="shared" si="2"/>
        <v>-5.0007999999990282E-5</v>
      </c>
    </row>
    <row r="32" spans="1:12" x14ac:dyDescent="0.3">
      <c r="A32">
        <v>0.98448997699999996</v>
      </c>
      <c r="B32">
        <v>0.25051000699999998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0</v>
      </c>
      <c r="I32">
        <f t="shared" si="0"/>
        <v>5.10006999999979E-4</v>
      </c>
      <c r="J32">
        <v>5.099769999999948E-4</v>
      </c>
      <c r="K32">
        <f t="shared" si="1"/>
        <v>1.0199839999999738E-3</v>
      </c>
      <c r="L32">
        <f t="shared" si="2"/>
        <v>5.099919999999869E-4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08B7-4CF0-4151-B8C0-3DB91B62B4E5}">
  <dimension ref="A1:I32"/>
  <sheetViews>
    <sheetView workbookViewId="0">
      <selection activeCell="E1" sqref="E1:G1048576"/>
    </sheetView>
  </sheetViews>
  <sheetFormatPr defaultRowHeight="14" x14ac:dyDescent="0.3"/>
  <sheetData>
    <row r="1" spans="1:9" x14ac:dyDescent="0.3">
      <c r="A1">
        <v>1.5769999E-2</v>
      </c>
      <c r="B1">
        <v>0.749480009</v>
      </c>
      <c r="C1">
        <v>0.5</v>
      </c>
      <c r="E1">
        <v>1.5740000000000001E-2</v>
      </c>
      <c r="F1">
        <v>0.75</v>
      </c>
      <c r="G1">
        <v>0.5</v>
      </c>
      <c r="H1">
        <f>A1-E1</f>
        <v>2.9998999999999304E-5</v>
      </c>
      <c r="I1">
        <f>B1-F1</f>
        <v>-5.1999099999999743E-4</v>
      </c>
    </row>
    <row r="2" spans="1:9" x14ac:dyDescent="0.3">
      <c r="A2">
        <v>4.7010005000000001E-2</v>
      </c>
      <c r="B2">
        <v>0.75006002199999999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2.0027999999998325E-5</v>
      </c>
      <c r="I2">
        <f t="shared" si="0"/>
        <v>6.0021999999992914E-5</v>
      </c>
    </row>
    <row r="3" spans="1:9" x14ac:dyDescent="0.3">
      <c r="A3">
        <v>7.8240000000000004E-2</v>
      </c>
      <c r="B3">
        <v>0.75045001499999997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0</v>
      </c>
      <c r="I3">
        <f t="shared" si="0"/>
        <v>4.500149999999703E-4</v>
      </c>
    </row>
    <row r="4" spans="1:9" x14ac:dyDescent="0.3">
      <c r="A4">
        <v>0.10947001000000001</v>
      </c>
      <c r="B4">
        <v>0.74944001400000004</v>
      </c>
      <c r="C4">
        <v>0.5</v>
      </c>
      <c r="E4">
        <v>0.109489977</v>
      </c>
      <c r="F4">
        <v>0.75</v>
      </c>
      <c r="G4">
        <v>0.5</v>
      </c>
      <c r="H4">
        <f t="shared" si="0"/>
        <v>-1.9966999999995738E-5</v>
      </c>
      <c r="I4">
        <f t="shared" si="0"/>
        <v>-5.599859999999568E-4</v>
      </c>
    </row>
    <row r="5" spans="1:9" x14ac:dyDescent="0.3">
      <c r="A5">
        <v>0.14071999499999999</v>
      </c>
      <c r="B5">
        <v>0.75016999200000001</v>
      </c>
      <c r="C5">
        <v>0.5</v>
      </c>
      <c r="E5">
        <v>0.140740007</v>
      </c>
      <c r="F5">
        <v>0.75</v>
      </c>
      <c r="G5">
        <v>0.5</v>
      </c>
      <c r="H5">
        <f t="shared" si="0"/>
        <v>-2.0012000000013686E-5</v>
      </c>
      <c r="I5">
        <f t="shared" si="0"/>
        <v>1.6999200000000769E-4</v>
      </c>
    </row>
    <row r="6" spans="1:9" x14ac:dyDescent="0.3">
      <c r="A6">
        <v>0.17198997699999999</v>
      </c>
      <c r="B6">
        <v>0.75037002600000002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0</v>
      </c>
      <c r="I6">
        <f t="shared" si="0"/>
        <v>3.7002600000002328E-4</v>
      </c>
    </row>
    <row r="7" spans="1:9" x14ac:dyDescent="0.3">
      <c r="A7">
        <v>0.20326000499999999</v>
      </c>
      <c r="B7">
        <v>0.74941998700000001</v>
      </c>
      <c r="C7">
        <v>0.5</v>
      </c>
      <c r="E7">
        <v>0.203240007</v>
      </c>
      <c r="F7">
        <v>0.75</v>
      </c>
      <c r="G7">
        <v>0.5</v>
      </c>
      <c r="H7">
        <f t="shared" si="0"/>
        <v>1.9997999999993299E-5</v>
      </c>
      <c r="I7">
        <f t="shared" si="0"/>
        <v>-5.8001299999999034E-4</v>
      </c>
    </row>
    <row r="8" spans="1:9" x14ac:dyDescent="0.3">
      <c r="A8">
        <v>0.234520018</v>
      </c>
      <c r="B8">
        <v>0.75028002299999996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3.0041000000008422E-5</v>
      </c>
      <c r="I8">
        <f t="shared" si="0"/>
        <v>2.8002299999996261E-4</v>
      </c>
    </row>
    <row r="9" spans="1:9" x14ac:dyDescent="0.3">
      <c r="A9">
        <v>0.26574999100000002</v>
      </c>
      <c r="B9">
        <v>0.75027000899999996</v>
      </c>
      <c r="C9">
        <v>0.5</v>
      </c>
      <c r="E9">
        <v>0.265740007</v>
      </c>
      <c r="F9">
        <v>0.75</v>
      </c>
      <c r="G9">
        <v>0.5</v>
      </c>
      <c r="H9">
        <f t="shared" si="0"/>
        <v>9.9840000000184226E-6</v>
      </c>
      <c r="I9">
        <f t="shared" si="0"/>
        <v>2.7000899999995998E-4</v>
      </c>
    </row>
    <row r="10" spans="1:9" x14ac:dyDescent="0.3">
      <c r="A10">
        <v>0.29698002299999998</v>
      </c>
      <c r="B10">
        <v>0.74941998700000001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-9.9540000000342133E-6</v>
      </c>
      <c r="I10">
        <f t="shared" si="0"/>
        <v>-5.8001299999999034E-4</v>
      </c>
    </row>
    <row r="11" spans="1:9" x14ac:dyDescent="0.3">
      <c r="A11">
        <v>0.32822001000000001</v>
      </c>
      <c r="B11">
        <v>0.75037002600000002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3.7002600000002328E-4</v>
      </c>
    </row>
    <row r="12" spans="1:9" x14ac:dyDescent="0.3">
      <c r="A12">
        <v>0.35948002299999998</v>
      </c>
      <c r="B12">
        <v>0.75016999200000001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-9.9540000000342133E-6</v>
      </c>
      <c r="I12">
        <f t="shared" si="0"/>
        <v>1.6999200000000769E-4</v>
      </c>
    </row>
    <row r="13" spans="1:9" x14ac:dyDescent="0.3">
      <c r="A13">
        <v>0.39074999100000002</v>
      </c>
      <c r="B13">
        <v>0.74944001400000004</v>
      </c>
      <c r="C13">
        <v>0.5</v>
      </c>
      <c r="E13">
        <v>0.390740007</v>
      </c>
      <c r="F13">
        <v>0.75</v>
      </c>
      <c r="G13">
        <v>0.5</v>
      </c>
      <c r="H13">
        <f t="shared" si="0"/>
        <v>9.9840000000184226E-6</v>
      </c>
      <c r="I13">
        <f t="shared" si="0"/>
        <v>-5.599859999999568E-4</v>
      </c>
    </row>
    <row r="14" spans="1:9" x14ac:dyDescent="0.3">
      <c r="A14">
        <v>0.422020018</v>
      </c>
      <c r="B14">
        <v>0.75045001499999997</v>
      </c>
      <c r="C14">
        <v>0.5</v>
      </c>
      <c r="E14">
        <v>0.421990007</v>
      </c>
      <c r="F14">
        <v>0.75</v>
      </c>
      <c r="G14">
        <v>0.5</v>
      </c>
      <c r="H14">
        <f t="shared" si="0"/>
        <v>3.0010999999996457E-5</v>
      </c>
      <c r="I14">
        <f t="shared" si="0"/>
        <v>4.500149999999703E-4</v>
      </c>
    </row>
    <row r="15" spans="1:9" x14ac:dyDescent="0.3">
      <c r="A15">
        <v>0.45326000500000002</v>
      </c>
      <c r="B15">
        <v>0.75005000799999999</v>
      </c>
      <c r="C15">
        <v>0.5</v>
      </c>
      <c r="E15">
        <v>0.453240007</v>
      </c>
      <c r="F15">
        <v>0.75</v>
      </c>
      <c r="G15">
        <v>0.5</v>
      </c>
      <c r="H15">
        <f t="shared" si="0"/>
        <v>1.9998000000021054E-5</v>
      </c>
      <c r="I15">
        <f t="shared" si="0"/>
        <v>5.0007999999990282E-5</v>
      </c>
    </row>
    <row r="16" spans="1:9" x14ac:dyDescent="0.3">
      <c r="A16">
        <v>0.484490007</v>
      </c>
      <c r="B16">
        <v>0.74949002300000001</v>
      </c>
      <c r="C16">
        <v>0.5</v>
      </c>
      <c r="E16">
        <v>0.484490007</v>
      </c>
      <c r="F16">
        <v>0.75</v>
      </c>
      <c r="G16">
        <v>0.5</v>
      </c>
      <c r="H16">
        <f t="shared" si="0"/>
        <v>0</v>
      </c>
      <c r="I16">
        <f t="shared" si="0"/>
        <v>-5.099769999999948E-4</v>
      </c>
    </row>
    <row r="17" spans="1:9" x14ac:dyDescent="0.3">
      <c r="A17">
        <v>0.51572001000000001</v>
      </c>
      <c r="B17">
        <v>0.750519991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-1.9966999999954105E-5</v>
      </c>
      <c r="I17">
        <f t="shared" si="0"/>
        <v>5.1999099999999743E-4</v>
      </c>
    </row>
    <row r="18" spans="1:9" x14ac:dyDescent="0.3">
      <c r="A18">
        <v>0.54697001000000001</v>
      </c>
      <c r="B18">
        <v>0.74994003799999998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-1.9966999999954105E-5</v>
      </c>
      <c r="I18">
        <f t="shared" si="0"/>
        <v>-5.9962000000024496E-5</v>
      </c>
    </row>
    <row r="19" spans="1:9" x14ac:dyDescent="0.3">
      <c r="A19">
        <v>0.57823997699999996</v>
      </c>
      <c r="B19">
        <v>0.74954998500000003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0</v>
      </c>
      <c r="I19">
        <f t="shared" si="0"/>
        <v>-4.500149999999703E-4</v>
      </c>
    </row>
    <row r="20" spans="1:9" x14ac:dyDescent="0.3">
      <c r="A20">
        <v>0.60951000499999997</v>
      </c>
      <c r="B20">
        <v>0.75055998599999996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2.0028000000005264E-5</v>
      </c>
      <c r="I20">
        <f t="shared" si="0"/>
        <v>5.599859999999568E-4</v>
      </c>
    </row>
    <row r="21" spans="1:9" x14ac:dyDescent="0.3">
      <c r="A21">
        <v>0.640770018</v>
      </c>
      <c r="B21">
        <v>0.74983000799999999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3.0041000000036178E-5</v>
      </c>
      <c r="I21">
        <f t="shared" si="0"/>
        <v>-1.6999200000000769E-4</v>
      </c>
    </row>
    <row r="22" spans="1:9" x14ac:dyDescent="0.3">
      <c r="A22">
        <v>0.67199999099999996</v>
      </c>
      <c r="B22">
        <v>0.74962997399999998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9.953999999923191E-6</v>
      </c>
      <c r="I22">
        <f t="shared" si="0"/>
        <v>-3.7002600000002328E-4</v>
      </c>
    </row>
    <row r="23" spans="1:9" x14ac:dyDescent="0.3">
      <c r="A23">
        <v>0.70322001000000001</v>
      </c>
      <c r="B23">
        <v>0.75058001299999999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-1.9966999999954105E-5</v>
      </c>
      <c r="I23">
        <f t="shared" si="0"/>
        <v>5.8001299999999034E-4</v>
      </c>
    </row>
    <row r="24" spans="1:9" x14ac:dyDescent="0.3">
      <c r="A24">
        <v>0.73447001000000001</v>
      </c>
      <c r="B24">
        <v>0.74971997700000004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-2.0027000000033546E-5</v>
      </c>
      <c r="I24">
        <f t="shared" si="0"/>
        <v>-2.8002299999996261E-4</v>
      </c>
    </row>
    <row r="25" spans="1:9" x14ac:dyDescent="0.3">
      <c r="A25">
        <v>0.76573002300000004</v>
      </c>
      <c r="B25">
        <v>0.74972999100000004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-9.953999999923191E-6</v>
      </c>
      <c r="I25">
        <f t="shared" si="0"/>
        <v>-2.7000899999995998E-4</v>
      </c>
    </row>
    <row r="26" spans="1:9" x14ac:dyDescent="0.3">
      <c r="A26">
        <v>0.79701000499999997</v>
      </c>
      <c r="B26">
        <v>0.75058001299999999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1.9967999999925823E-5</v>
      </c>
      <c r="I26">
        <f t="shared" si="0"/>
        <v>5.8001299999999034E-4</v>
      </c>
    </row>
    <row r="27" spans="1:9" x14ac:dyDescent="0.3">
      <c r="A27">
        <v>0.828270018</v>
      </c>
      <c r="B27">
        <v>0.74962997399999998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3.0041000000036178E-5</v>
      </c>
      <c r="I27">
        <f t="shared" si="0"/>
        <v>-3.7002600000002328E-4</v>
      </c>
    </row>
    <row r="28" spans="1:9" x14ac:dyDescent="0.3">
      <c r="A28">
        <v>0.85951000499999997</v>
      </c>
      <c r="B28">
        <v>0.74983000799999999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1.9967999999925823E-5</v>
      </c>
      <c r="I28">
        <f t="shared" si="0"/>
        <v>-1.6999200000000769E-4</v>
      </c>
    </row>
    <row r="29" spans="1:9" x14ac:dyDescent="0.3">
      <c r="A29">
        <v>0.89073002300000004</v>
      </c>
      <c r="B29">
        <v>0.75055998599999996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-9.953999999923191E-6</v>
      </c>
      <c r="I29">
        <f t="shared" si="0"/>
        <v>5.599859999999568E-4</v>
      </c>
    </row>
    <row r="30" spans="1:9" x14ac:dyDescent="0.3">
      <c r="A30">
        <v>0.92197001000000001</v>
      </c>
      <c r="B30">
        <v>0.74954998500000003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-2.0027000000033546E-5</v>
      </c>
      <c r="I30">
        <f t="shared" si="0"/>
        <v>-4.500149999999703E-4</v>
      </c>
    </row>
    <row r="31" spans="1:9" x14ac:dyDescent="0.3">
      <c r="A31">
        <v>0.95322001000000001</v>
      </c>
      <c r="B31">
        <v>0.74994999200000001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-1.9966999999954105E-5</v>
      </c>
      <c r="I31">
        <f t="shared" si="0"/>
        <v>-5.0007999999990282E-5</v>
      </c>
    </row>
    <row r="32" spans="1:9" x14ac:dyDescent="0.3">
      <c r="A32">
        <v>0.98449999099999996</v>
      </c>
      <c r="B32">
        <v>0.75050997699999999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9.953999999923191E-6</v>
      </c>
      <c r="I32">
        <f t="shared" si="0"/>
        <v>5.099769999999948E-4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10C1-BD91-4087-B355-B24C348E7DF2}">
  <dimension ref="A1:I32"/>
  <sheetViews>
    <sheetView workbookViewId="0">
      <selection activeCell="H1" sqref="H1:I1048576"/>
    </sheetView>
  </sheetViews>
  <sheetFormatPr defaultRowHeight="14" x14ac:dyDescent="0.3"/>
  <sheetData>
    <row r="1" spans="1:9" x14ac:dyDescent="0.3">
      <c r="A1">
        <v>1.2E-4</v>
      </c>
      <c r="B1">
        <v>0.50002002700000003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2.0027000000033546E-5</v>
      </c>
    </row>
    <row r="2" spans="1:9" x14ac:dyDescent="0.3">
      <c r="A2">
        <v>3.1369999000000003E-2</v>
      </c>
      <c r="B2">
        <v>0.99927997599999996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B2-F2-1</f>
        <v>-7.200240000000413E-4</v>
      </c>
    </row>
    <row r="3" spans="1:9" x14ac:dyDescent="0.3">
      <c r="A3">
        <v>6.2619998999999996E-2</v>
      </c>
      <c r="B3">
        <v>0.50077998599999995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7.7998599999995477E-4</v>
      </c>
    </row>
    <row r="4" spans="1:9" x14ac:dyDescent="0.3">
      <c r="A4">
        <v>9.3869998999999996E-2</v>
      </c>
      <c r="B4">
        <v>0.99984997499999995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>B4-F4-1</f>
        <v>-1.5002500000005359E-4</v>
      </c>
    </row>
    <row r="5" spans="1:9" x14ac:dyDescent="0.3">
      <c r="A5">
        <v>0.12511999900000001</v>
      </c>
      <c r="B5">
        <v>0.49937999199999999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-6.2000800000000522E-4</v>
      </c>
    </row>
    <row r="6" spans="1:9" x14ac:dyDescent="0.3">
      <c r="A6">
        <v>0.15636999900000001</v>
      </c>
      <c r="B6">
        <v>8.4000000000000003E-4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 t="shared" si="0"/>
        <v>8.4000000000000003E-4</v>
      </c>
    </row>
    <row r="7" spans="1:9" x14ac:dyDescent="0.3">
      <c r="A7">
        <v>0.18761999900000001</v>
      </c>
      <c r="B7">
        <v>0.49968999600000003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-3.1000399999997486E-4</v>
      </c>
    </row>
    <row r="8" spans="1:9" x14ac:dyDescent="0.3">
      <c r="A8">
        <v>0.21886999900000001</v>
      </c>
      <c r="B8">
        <v>0.99950998999999996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>B8-F8-1</f>
        <v>-4.9001000000004069E-4</v>
      </c>
    </row>
    <row r="9" spans="1:9" x14ac:dyDescent="0.3">
      <c r="A9">
        <v>0.250120014</v>
      </c>
      <c r="B9">
        <v>0.50085997599999998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8.5997599999998453E-4</v>
      </c>
    </row>
    <row r="10" spans="1:9" x14ac:dyDescent="0.3">
      <c r="A10">
        <v>0.281370014</v>
      </c>
      <c r="B10">
        <v>0.99953997100000003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>B10-F10-1</f>
        <v>-4.6002899999997293E-4</v>
      </c>
    </row>
    <row r="11" spans="1:9" x14ac:dyDescent="0.3">
      <c r="A11">
        <v>0.312620014</v>
      </c>
      <c r="B11">
        <v>0.49965998499999997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-3.4001500000002682E-4</v>
      </c>
    </row>
    <row r="12" spans="1:9" x14ac:dyDescent="0.3">
      <c r="A12">
        <v>0.343870014</v>
      </c>
      <c r="B12">
        <v>8.4000000000000003E-4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8.4000000000000003E-4</v>
      </c>
    </row>
    <row r="13" spans="1:9" x14ac:dyDescent="0.3">
      <c r="A13">
        <v>0.375120014</v>
      </c>
      <c r="B13">
        <v>0.49941000299999999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-5.8999700000000876E-4</v>
      </c>
    </row>
    <row r="14" spans="1:9" x14ac:dyDescent="0.3">
      <c r="A14">
        <v>0.406370014</v>
      </c>
      <c r="B14">
        <v>0.99981999399999999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>B14-F14-1</f>
        <v>-1.8000600000001032E-4</v>
      </c>
    </row>
    <row r="15" spans="1:9" x14ac:dyDescent="0.3">
      <c r="A15">
        <v>0.437620014</v>
      </c>
      <c r="B15">
        <v>0.50080001399999996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8.0001399999996003E-4</v>
      </c>
    </row>
    <row r="16" spans="1:9" x14ac:dyDescent="0.3">
      <c r="A16">
        <v>0.468870014</v>
      </c>
      <c r="B16">
        <v>0.99930000299999999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>B16-F16-1</f>
        <v>-6.9999700000000775E-4</v>
      </c>
    </row>
    <row r="17" spans="1:9" x14ac:dyDescent="0.3">
      <c r="A17">
        <v>0.50011998400000002</v>
      </c>
      <c r="B17">
        <v>0.49997997300000002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-2.0026999999978035E-5</v>
      </c>
    </row>
    <row r="18" spans="1:9" x14ac:dyDescent="0.3">
      <c r="A18">
        <v>0.53136998400000002</v>
      </c>
      <c r="B18">
        <v>7.2000000000000005E-4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 t="shared" si="0"/>
        <v>7.2000000000000005E-4</v>
      </c>
    </row>
    <row r="19" spans="1:9" x14ac:dyDescent="0.3">
      <c r="A19">
        <v>0.56261998400000002</v>
      </c>
      <c r="B19">
        <v>0.49922001399999999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-7.7998600000001028E-4</v>
      </c>
    </row>
    <row r="20" spans="1:9" x14ac:dyDescent="0.3">
      <c r="A20">
        <v>0.59386998400000002</v>
      </c>
      <c r="B20">
        <v>1.4999999999999999E-4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 t="shared" si="0"/>
        <v>1.4999999999999999E-4</v>
      </c>
    </row>
    <row r="21" spans="1:9" x14ac:dyDescent="0.3">
      <c r="A21">
        <v>0.62511998400000002</v>
      </c>
      <c r="B21">
        <v>0.50062000799999995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6.2000799999994971E-4</v>
      </c>
    </row>
    <row r="22" spans="1:9" x14ac:dyDescent="0.3">
      <c r="A22">
        <v>0.65636998400000002</v>
      </c>
      <c r="B22">
        <v>0.99915999200000005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B22-F22-1</f>
        <v>-8.4000799999994769E-4</v>
      </c>
    </row>
    <row r="23" spans="1:9" x14ac:dyDescent="0.3">
      <c r="A23">
        <v>0.68761998400000002</v>
      </c>
      <c r="B23">
        <v>0.50031000400000003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3.1000400000003037E-4</v>
      </c>
    </row>
    <row r="24" spans="1:9" x14ac:dyDescent="0.3">
      <c r="A24">
        <v>0.71886998400000002</v>
      </c>
      <c r="B24">
        <v>4.8999999999999998E-4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 t="shared" si="0"/>
        <v>4.8999999999999998E-4</v>
      </c>
    </row>
    <row r="25" spans="1:9" x14ac:dyDescent="0.3">
      <c r="A25">
        <v>0.75012004399999999</v>
      </c>
      <c r="B25">
        <v>0.49914002400000002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-8.5997599999998453E-4</v>
      </c>
    </row>
    <row r="26" spans="1:9" x14ac:dyDescent="0.3">
      <c r="A26">
        <v>0.78137004399999999</v>
      </c>
      <c r="B26">
        <v>4.6000000000000001E-4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</f>
        <v>4.6000000000000001E-4</v>
      </c>
    </row>
    <row r="27" spans="1:9" x14ac:dyDescent="0.3">
      <c r="A27">
        <v>0.81262004399999999</v>
      </c>
      <c r="B27">
        <v>0.50033998499999999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3.399849999999871E-4</v>
      </c>
    </row>
    <row r="28" spans="1:9" x14ac:dyDescent="0.3">
      <c r="A28">
        <v>0.84387004399999999</v>
      </c>
      <c r="B28">
        <v>0.99915999200000005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-8.4000799999994769E-4</v>
      </c>
    </row>
    <row r="29" spans="1:9" x14ac:dyDescent="0.3">
      <c r="A29">
        <v>0.87512004399999999</v>
      </c>
      <c r="B29">
        <v>0.50058996700000002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5.8996700000002456E-4</v>
      </c>
    </row>
    <row r="30" spans="1:9" x14ac:dyDescent="0.3">
      <c r="A30">
        <v>0.90637004399999999</v>
      </c>
      <c r="B30">
        <v>1.8000000000000001E-4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</f>
        <v>1.8000000000000001E-4</v>
      </c>
    </row>
    <row r="31" spans="1:9" x14ac:dyDescent="0.3">
      <c r="A31">
        <v>0.93762004399999999</v>
      </c>
      <c r="B31">
        <v>0.49919998599999998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-8.0001400000001555E-4</v>
      </c>
    </row>
    <row r="32" spans="1:9" x14ac:dyDescent="0.3">
      <c r="A32">
        <v>0.96887004399999999</v>
      </c>
      <c r="B32">
        <v>6.9999999999999999E-4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</f>
        <v>6.9999999999999999E-4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1D81-718E-4849-B51D-0D77F554E9FA}">
  <dimension ref="B1:I33"/>
  <sheetViews>
    <sheetView workbookViewId="0">
      <selection activeCell="F1" sqref="F1:I1048576"/>
    </sheetView>
  </sheetViews>
  <sheetFormatPr defaultRowHeight="14" x14ac:dyDescent="0.3"/>
  <sheetData>
    <row r="1" spans="2:9" x14ac:dyDescent="0.3">
      <c r="B1" t="s">
        <v>0</v>
      </c>
      <c r="C1" t="s">
        <v>1</v>
      </c>
      <c r="D1" t="s">
        <v>2</v>
      </c>
      <c r="E1" t="s">
        <v>3</v>
      </c>
    </row>
    <row r="2" spans="2:9" x14ac:dyDescent="0.3">
      <c r="B2">
        <v>8.4999999999999995E-4</v>
      </c>
      <c r="C2">
        <v>4.1997400000004514E-4</v>
      </c>
      <c r="D2">
        <v>-5.1999099999999743E-4</v>
      </c>
      <c r="E2">
        <v>2.0027000000033546E-5</v>
      </c>
      <c r="F2">
        <f>Sheet8!B2+Sheet8!C2+Sheet8!E2</f>
        <v>1.2900010000000788E-3</v>
      </c>
      <c r="G2">
        <f>F2+Sheet8!D2+Sheet8!D33</f>
        <v>1.2800020000000682E-3</v>
      </c>
      <c r="H2">
        <v>5.5923399925000004</v>
      </c>
      <c r="I2" s="1">
        <f>G2*H2</f>
        <v>7.1582063750803672E-3</v>
      </c>
    </row>
    <row r="3" spans="2:9" x14ac:dyDescent="0.3">
      <c r="B3">
        <v>1.0600090000000284E-3</v>
      </c>
      <c r="C3">
        <v>3.2000000000000003E-4</v>
      </c>
      <c r="D3">
        <v>6.000700000000081E-5</v>
      </c>
      <c r="E3">
        <v>-7.200240000000413E-4</v>
      </c>
      <c r="F3">
        <f>Sheet8!B3+Sheet8!C3+Sheet8!E3</f>
        <v>6.5998499999998708E-4</v>
      </c>
      <c r="G3">
        <f>F3+Sheet8!D2+Sheet8!D3</f>
        <v>2.0000099999999046E-4</v>
      </c>
      <c r="H3">
        <v>5.5923399925000004</v>
      </c>
      <c r="I3">
        <f>G3*H3</f>
        <v>1.1184735908399393E-3</v>
      </c>
    </row>
    <row r="4" spans="2:9" x14ac:dyDescent="0.3">
      <c r="B4">
        <v>-2.0300149999999961E-3</v>
      </c>
      <c r="C4">
        <v>-7.7998600000001028E-4</v>
      </c>
      <c r="D4">
        <v>4.5001499999999806E-4</v>
      </c>
      <c r="E4">
        <v>7.7998599999995477E-4</v>
      </c>
      <c r="F4">
        <f>Sheet8!B4+Sheet8!C4+Sheet8!E4</f>
        <v>-2.0300150000000516E-3</v>
      </c>
      <c r="G4">
        <f>F4+Sheet8!D3+Sheet8!D4</f>
        <v>-1.5199930000000528E-3</v>
      </c>
      <c r="H4">
        <v>5.5923399925000004</v>
      </c>
      <c r="I4" s="1">
        <f>G4*H4</f>
        <v>-8.5003176422203484E-3</v>
      </c>
    </row>
    <row r="5" spans="2:9" x14ac:dyDescent="0.3">
      <c r="B5">
        <v>1.1900070000000484E-3</v>
      </c>
      <c r="C5">
        <v>5.4000000000000001E-4</v>
      </c>
      <c r="D5">
        <v>-5.599934999999806E-4</v>
      </c>
      <c r="E5">
        <v>-1.5002500000005359E-4</v>
      </c>
      <c r="F5">
        <f>Sheet8!B5+Sheet8!C5+Sheet8!E5</f>
        <v>1.579981999999995E-3</v>
      </c>
      <c r="G5">
        <f>F5+Sheet8!D4+Sheet8!D5</f>
        <v>1.4700035000000124E-3</v>
      </c>
      <c r="H5">
        <v>5.5923399925000004</v>
      </c>
      <c r="I5">
        <f>G5*H5</f>
        <v>8.2207593621650438E-3</v>
      </c>
    </row>
    <row r="6" spans="2:9" x14ac:dyDescent="0.3">
      <c r="B6">
        <v>6.9999999999999999E-4</v>
      </c>
      <c r="C6">
        <v>1.6999200000000769E-4</v>
      </c>
      <c r="D6">
        <v>1.6999200000000769E-4</v>
      </c>
      <c r="E6">
        <v>-6.2000800000000522E-4</v>
      </c>
      <c r="F6">
        <f>Sheet8!B6+Sheet8!C6+Sheet8!E6</f>
        <v>2.4998400000000246E-4</v>
      </c>
      <c r="G6">
        <f>F6+Sheet8!D5+Sheet8!D6</f>
        <v>-1.4001749999997045E-4</v>
      </c>
      <c r="H6">
        <v>5.5923399925000004</v>
      </c>
      <c r="I6" s="1">
        <f>G6*H6</f>
        <v>-7.830254648997035E-4</v>
      </c>
    </row>
    <row r="7" spans="2:9" x14ac:dyDescent="0.3">
      <c r="B7">
        <v>-1.9699930000000032E-3</v>
      </c>
      <c r="C7">
        <v>-7.3999199999996712E-4</v>
      </c>
      <c r="D7">
        <v>3.7001100000000342E-4</v>
      </c>
      <c r="E7">
        <v>8.4000000000000003E-4</v>
      </c>
      <c r="F7">
        <f>Sheet8!B7+Sheet8!C7+Sheet8!E7</f>
        <v>-1.8699849999999703E-3</v>
      </c>
      <c r="G7">
        <f>F7+Sheet8!D6+Sheet8!D7</f>
        <v>-1.3299819999999592E-3</v>
      </c>
      <c r="H7">
        <v>5.5923399925000004</v>
      </c>
      <c r="I7">
        <f>G7*H7</f>
        <v>-7.4377115279049069E-3</v>
      </c>
    </row>
    <row r="8" spans="2:9" x14ac:dyDescent="0.3">
      <c r="B8">
        <v>1.49E-3</v>
      </c>
      <c r="C8">
        <v>6.3997500000001484E-4</v>
      </c>
      <c r="D8">
        <v>-5.8001299999999034E-4</v>
      </c>
      <c r="E8">
        <v>-3.1000399999997486E-4</v>
      </c>
      <c r="F8">
        <f>Sheet8!B8+Sheet8!C8+Sheet8!E8</f>
        <v>1.81997100000004E-3</v>
      </c>
      <c r="G8">
        <f>F8+Sheet8!D7+Sheet8!D8</f>
        <v>1.6099690000000531E-3</v>
      </c>
      <c r="H8">
        <v>5.5923399925000004</v>
      </c>
      <c r="I8" s="1">
        <f>G8*H8</f>
        <v>9.0034940253855295E-3</v>
      </c>
    </row>
    <row r="9" spans="2:9" x14ac:dyDescent="0.3">
      <c r="B9">
        <v>3.2001699999995026E-4</v>
      </c>
      <c r="C9">
        <v>2.0000000000000002E-5</v>
      </c>
      <c r="D9">
        <v>2.800079999999705E-4</v>
      </c>
      <c r="E9">
        <v>-4.9001000000004069E-4</v>
      </c>
      <c r="F9">
        <f>Sheet8!B9+Sheet8!C9+Sheet8!E9</f>
        <v>-1.4999300000009043E-4</v>
      </c>
      <c r="G9">
        <f>F9+Sheet8!D8+Sheet8!D9</f>
        <v>-4.4999800000011022E-4</v>
      </c>
      <c r="H9">
        <v>5.5923399925000004</v>
      </c>
      <c r="I9">
        <f>G9*H9</f>
        <v>-2.5165418119456316E-3</v>
      </c>
    </row>
    <row r="10" spans="2:9" x14ac:dyDescent="0.3">
      <c r="B10">
        <v>-1.8399949999999832E-3</v>
      </c>
      <c r="C10">
        <v>-6.6998600000001129E-4</v>
      </c>
      <c r="D10">
        <v>2.7000899999998773E-4</v>
      </c>
      <c r="E10">
        <v>8.5997599999998453E-4</v>
      </c>
      <c r="F10">
        <f>Sheet8!B10+Sheet8!C10+Sheet8!E10</f>
        <v>-1.6500050000000099E-3</v>
      </c>
      <c r="G10">
        <f>F10+Sheet8!D9+Sheet8!D10</f>
        <v>-1.0999880000000517E-3</v>
      </c>
      <c r="H10">
        <v>5.5923399925000004</v>
      </c>
      <c r="I10" s="1">
        <f>G10*H10</f>
        <v>-6.1515068836703792E-3</v>
      </c>
    </row>
    <row r="11" spans="2:9" x14ac:dyDescent="0.3">
      <c r="B11">
        <v>1.7300249999999684E-3</v>
      </c>
      <c r="C11">
        <v>7.2000000000000005E-4</v>
      </c>
      <c r="D11">
        <v>-5.8000549999999429E-4</v>
      </c>
      <c r="E11">
        <v>-4.6002899999997293E-4</v>
      </c>
      <c r="F11">
        <f>Sheet8!B11+Sheet8!C11+Sheet8!E11</f>
        <v>1.9899959999999956E-3</v>
      </c>
      <c r="G11">
        <f>F11+Sheet8!D10+Sheet8!D11</f>
        <v>1.6799994999999891E-3</v>
      </c>
      <c r="H11">
        <v>5.5923399925000004</v>
      </c>
      <c r="I11">
        <f>G11*H11</f>
        <v>9.3951283912299434E-3</v>
      </c>
    </row>
    <row r="12" spans="2:9" x14ac:dyDescent="0.3">
      <c r="B12">
        <v>-7.9988999999947019E-5</v>
      </c>
      <c r="C12">
        <v>-1.2999800000002004E-4</v>
      </c>
      <c r="D12">
        <v>3.7002600000002328E-4</v>
      </c>
      <c r="E12">
        <v>-3.4001500000002682E-4</v>
      </c>
      <c r="F12">
        <f>Sheet8!B12+Sheet8!C12+Sheet8!E12</f>
        <v>-5.5000199999999388E-4</v>
      </c>
      <c r="G12">
        <f>F12+Sheet8!D11+Sheet8!D12</f>
        <v>-7.5998149999996489E-4</v>
      </c>
      <c r="H12">
        <v>5.5923399925000004</v>
      </c>
      <c r="I12" s="1">
        <f>G12*H12</f>
        <v>-4.2500749360099427E-3</v>
      </c>
    </row>
    <row r="13" spans="2:9" x14ac:dyDescent="0.3">
      <c r="B13">
        <v>-1.639991999999979E-3</v>
      </c>
      <c r="C13">
        <v>-5.6999899999998771E-4</v>
      </c>
      <c r="D13">
        <v>1.6999200000000769E-4</v>
      </c>
      <c r="E13">
        <v>8.4000000000000003E-4</v>
      </c>
      <c r="F13">
        <f>Sheet8!B13+Sheet8!C13+Sheet8!E13</f>
        <v>-1.3699909999999667E-3</v>
      </c>
      <c r="G13">
        <f>F13+Sheet8!D12+Sheet8!D13</f>
        <v>-8.2997299999993572E-4</v>
      </c>
      <c r="H13">
        <v>5.5923399925000004</v>
      </c>
      <c r="I13">
        <f>G13*H13</f>
        <v>-4.641491200594843E-3</v>
      </c>
    </row>
    <row r="14" spans="2:9" x14ac:dyDescent="0.3">
      <c r="B14">
        <v>1.9E-3</v>
      </c>
      <c r="C14">
        <v>7.6997300000003488E-4</v>
      </c>
      <c r="D14">
        <v>-5.5998599999998455E-4</v>
      </c>
      <c r="E14">
        <v>-5.8999700000000876E-4</v>
      </c>
      <c r="F14">
        <f>Sheet8!B14+Sheet8!C14+Sheet8!E14</f>
        <v>2.0799760000000259E-3</v>
      </c>
      <c r="G14">
        <f>F14+Sheet8!D13+Sheet8!D14</f>
        <v>1.689982000000049E-3</v>
      </c>
      <c r="H14">
        <v>5.5923399925000004</v>
      </c>
      <c r="I14" s="1">
        <f>G14*H14</f>
        <v>9.4509539252054103E-3</v>
      </c>
    </row>
    <row r="15" spans="2:9" x14ac:dyDescent="0.3">
      <c r="B15">
        <v>-4.7001200000001964E-4</v>
      </c>
      <c r="C15">
        <v>-2.8002299999996261E-4</v>
      </c>
      <c r="D15">
        <v>4.499999999999782E-4</v>
      </c>
      <c r="E15">
        <v>-1.8000600000001032E-4</v>
      </c>
      <c r="F15">
        <f>Sheet8!B15+Sheet8!C15+Sheet8!E15</f>
        <v>-9.3004099999999257E-4</v>
      </c>
      <c r="G15">
        <f>F15+Sheet8!D14+Sheet8!D15</f>
        <v>-1.0400269999999989E-3</v>
      </c>
      <c r="H15">
        <v>5.5923399925000004</v>
      </c>
      <c r="I15">
        <f>G15*H15</f>
        <v>-5.8161845853797918E-3</v>
      </c>
    </row>
    <row r="16" spans="2:9" x14ac:dyDescent="0.3">
      <c r="B16">
        <v>-1.3800259999999787E-3</v>
      </c>
      <c r="C16">
        <v>-4.4998499999998609E-4</v>
      </c>
      <c r="D16">
        <v>5.0007999999990282E-5</v>
      </c>
      <c r="E16">
        <v>8.0001399999996003E-4</v>
      </c>
      <c r="F16">
        <f>Sheet8!B16+Sheet8!C16+Sheet8!E16</f>
        <v>-1.0299970000000047E-3</v>
      </c>
      <c r="G16">
        <f>F16+Sheet8!D15+Sheet8!D16</f>
        <v>-5.2998900000003624E-4</v>
      </c>
      <c r="H16">
        <v>5.5923399925000004</v>
      </c>
      <c r="I16" s="1">
        <f>G16*H16</f>
        <v>-2.9638786802852852E-3</v>
      </c>
    </row>
    <row r="17" spans="2:9" x14ac:dyDescent="0.3">
      <c r="B17">
        <v>1.99997399999996E-3</v>
      </c>
      <c r="C17">
        <v>7.9000000000000001E-4</v>
      </c>
      <c r="D17">
        <v>-5.0999200000000078E-4</v>
      </c>
      <c r="E17">
        <v>-6.9999700000000775E-4</v>
      </c>
      <c r="F17">
        <f>Sheet8!B17+Sheet8!C17+Sheet8!E17</f>
        <v>2.0899769999999521E-3</v>
      </c>
      <c r="G17">
        <f>F17+Sheet8!D16+Sheet8!D17</f>
        <v>1.6299929999999416E-3</v>
      </c>
      <c r="H17">
        <v>5.5923399925000004</v>
      </c>
      <c r="I17">
        <f>G17*H17</f>
        <v>9.1154750413947258E-3</v>
      </c>
    </row>
    <row r="18" spans="2:9" x14ac:dyDescent="0.3">
      <c r="B18">
        <v>-8.5002199999995032E-4</v>
      </c>
      <c r="C18">
        <v>-4.1997399999998963E-4</v>
      </c>
      <c r="D18">
        <v>5.1999099999999743E-4</v>
      </c>
      <c r="E18">
        <v>-2.0026999999978035E-5</v>
      </c>
      <c r="F18">
        <f>Sheet8!B18+Sheet8!C18+Sheet8!E18</f>
        <v>-1.290022999999918E-3</v>
      </c>
      <c r="G18">
        <f>F18+Sheet8!D17+Sheet8!D18</f>
        <v>-1.2800239999999213E-3</v>
      </c>
      <c r="H18">
        <v>5.5923399925000004</v>
      </c>
      <c r="I18" s="1">
        <f>G18*H18</f>
        <v>-7.1583294065593805E-3</v>
      </c>
    </row>
    <row r="19" spans="2:9" x14ac:dyDescent="0.3">
      <c r="B19">
        <v>-1.0600089999999729E-3</v>
      </c>
      <c r="C19">
        <v>-3.2001699999995026E-4</v>
      </c>
      <c r="D19">
        <v>-5.9984500000012653E-5</v>
      </c>
      <c r="E19">
        <v>7.2000000000000005E-4</v>
      </c>
      <c r="F19">
        <f>Sheet8!B19+Sheet8!C19+Sheet8!E19</f>
        <v>-6.600259999999231E-4</v>
      </c>
      <c r="G19">
        <f>F19+Sheet8!D18+Sheet8!D19</f>
        <v>-2.0001949999993833E-4</v>
      </c>
      <c r="H19">
        <v>5.5923399925000004</v>
      </c>
      <c r="I19">
        <f>G19*H19</f>
        <v>-1.118577049129509E-3</v>
      </c>
    </row>
    <row r="20" spans="2:9" x14ac:dyDescent="0.3">
      <c r="B20">
        <v>2.0300000000000001E-3</v>
      </c>
      <c r="C20">
        <v>7.7998599999995477E-4</v>
      </c>
      <c r="D20">
        <v>-4.5001499999998418E-4</v>
      </c>
      <c r="E20">
        <v>-7.7998600000001028E-4</v>
      </c>
      <c r="F20">
        <f>Sheet8!B20+Sheet8!C20+Sheet8!E20</f>
        <v>2.0299999999999446E-3</v>
      </c>
      <c r="G20">
        <f>F20+Sheet8!D19+Sheet8!D20</f>
        <v>1.5200004999999478E-3</v>
      </c>
      <c r="H20">
        <v>5.5923399925000004</v>
      </c>
      <c r="I20" s="1">
        <f>G20*H20</f>
        <v>8.5003595847697056E-3</v>
      </c>
    </row>
    <row r="21" spans="2:9" x14ac:dyDescent="0.3">
      <c r="B21">
        <v>-1.1900069999999929E-3</v>
      </c>
      <c r="C21">
        <v>-5.4001800000003097E-4</v>
      </c>
      <c r="D21">
        <v>5.5998599999998455E-4</v>
      </c>
      <c r="E21">
        <v>1.4999999999999999E-4</v>
      </c>
      <c r="F21">
        <f>Sheet8!B21+Sheet8!C21+Sheet8!E21</f>
        <v>-1.5800250000000239E-3</v>
      </c>
      <c r="G21">
        <f>F21+Sheet8!D20+Sheet8!D21</f>
        <v>-1.4700540000000236E-3</v>
      </c>
      <c r="H21">
        <v>5.5923399925000004</v>
      </c>
      <c r="I21">
        <f>G21*H21</f>
        <v>-8.2210417753347271E-3</v>
      </c>
    </row>
    <row r="22" spans="2:9" x14ac:dyDescent="0.3">
      <c r="B22">
        <v>-6.9999700000000775E-4</v>
      </c>
      <c r="C22">
        <v>-1.6999200000000769E-4</v>
      </c>
      <c r="D22">
        <v>-1.6999200000000769E-4</v>
      </c>
      <c r="E22">
        <v>6.2000799999994971E-4</v>
      </c>
      <c r="F22">
        <f>Sheet8!B22+Sheet8!C22+Sheet8!E22</f>
        <v>-2.4998100000006573E-4</v>
      </c>
      <c r="G22">
        <f>F22+Sheet8!D21+Sheet8!D22</f>
        <v>1.4001299999991113E-4</v>
      </c>
      <c r="H22">
        <v>5.5923399925000004</v>
      </c>
      <c r="I22" s="1">
        <f>G22*H22</f>
        <v>7.8300029936940552E-4</v>
      </c>
    </row>
    <row r="23" spans="2:9" x14ac:dyDescent="0.3">
      <c r="B23">
        <v>1.9699930000000032E-3</v>
      </c>
      <c r="C23">
        <v>7.3999999999999999E-4</v>
      </c>
      <c r="D23">
        <v>-3.700110000000173E-4</v>
      </c>
      <c r="E23">
        <v>-8.4000799999994769E-4</v>
      </c>
      <c r="F23">
        <f>Sheet8!B23+Sheet8!C23+Sheet8!E23</f>
        <v>1.8699850000000557E-3</v>
      </c>
      <c r="G23">
        <f>F23+Sheet8!D22+Sheet8!D23</f>
        <v>1.3299820000000307E-3</v>
      </c>
      <c r="H23">
        <v>5.5923399925000004</v>
      </c>
      <c r="I23">
        <f>G23*H23</f>
        <v>7.4377115279053076E-3</v>
      </c>
    </row>
    <row r="24" spans="2:9" x14ac:dyDescent="0.3">
      <c r="B24">
        <v>-1.4899969999999652E-3</v>
      </c>
      <c r="C24">
        <v>-6.3997500000001484E-4</v>
      </c>
      <c r="D24">
        <v>5.8001299999999034E-4</v>
      </c>
      <c r="E24">
        <v>3.1000400000003037E-4</v>
      </c>
      <c r="F24">
        <f>Sheet8!B24+Sheet8!C24+Sheet8!E24</f>
        <v>-1.8199679999999496E-3</v>
      </c>
      <c r="G24">
        <f>F24+Sheet8!D23+Sheet8!D24</f>
        <v>-1.6099659999999766E-3</v>
      </c>
      <c r="H24">
        <v>5.5923399925000004</v>
      </c>
      <c r="I24" s="1">
        <f>G24*H24</f>
        <v>-9.0034772483651247E-3</v>
      </c>
    </row>
    <row r="25" spans="2:9" x14ac:dyDescent="0.3">
      <c r="B25">
        <v>-3.2001700000000577E-4</v>
      </c>
      <c r="C25">
        <v>-2.0027000000033546E-5</v>
      </c>
      <c r="D25">
        <v>-2.8000799999998438E-4</v>
      </c>
      <c r="E25">
        <v>4.8999999999999998E-4</v>
      </c>
      <c r="F25">
        <f>Sheet8!B25+Sheet8!C25+Sheet8!E25</f>
        <v>1.4995599999996067E-4</v>
      </c>
      <c r="G25">
        <f>F25+Sheet8!D24+Sheet8!D25</f>
        <v>4.4996099999996663E-4</v>
      </c>
      <c r="H25">
        <v>5.5923399925000004</v>
      </c>
      <c r="I25">
        <f>G25*H25</f>
        <v>2.5163348953651061E-3</v>
      </c>
    </row>
    <row r="26" spans="2:9" x14ac:dyDescent="0.3">
      <c r="B26">
        <v>1.8400000000000001E-3</v>
      </c>
      <c r="C26">
        <v>6.6995599999997157E-4</v>
      </c>
      <c r="D26">
        <v>-2.7000899999997385E-4</v>
      </c>
      <c r="E26">
        <v>-8.5997599999998453E-4</v>
      </c>
      <c r="F26">
        <f>Sheet8!B26+Sheet8!C26+Sheet8!E26</f>
        <v>1.6499799999999871E-3</v>
      </c>
      <c r="G26">
        <f>F26+Sheet8!D25+Sheet8!D26</f>
        <v>1.0999630000000289E-3</v>
      </c>
      <c r="H26">
        <v>5.5923399925000004</v>
      </c>
      <c r="I26" s="1">
        <f>G26*H26</f>
        <v>6.1513670751704389E-3</v>
      </c>
    </row>
    <row r="27" spans="2:9" x14ac:dyDescent="0.3">
      <c r="B27">
        <v>-1.7300250000000239E-3</v>
      </c>
      <c r="C27">
        <v>-7.200240000000413E-4</v>
      </c>
      <c r="D27">
        <v>5.8001299999999034E-4</v>
      </c>
      <c r="E27">
        <v>4.6000000000000001E-4</v>
      </c>
      <c r="F27">
        <f>Sheet8!B27+Sheet8!C27+Sheet8!E27</f>
        <v>-1.9900490000000653E-3</v>
      </c>
      <c r="G27">
        <f>F27+Sheet8!D26+Sheet8!D27</f>
        <v>-1.6800450000000488E-3</v>
      </c>
      <c r="H27">
        <v>5.5923399925000004</v>
      </c>
      <c r="I27">
        <f>G27*H27</f>
        <v>-9.3953828426999366E-3</v>
      </c>
    </row>
    <row r="28" spans="2:9" x14ac:dyDescent="0.3">
      <c r="B28">
        <v>8.0000000000000007E-5</v>
      </c>
      <c r="C28">
        <v>1.2999800000002004E-4</v>
      </c>
      <c r="D28">
        <v>-3.700260000000094E-4</v>
      </c>
      <c r="E28">
        <v>3.399849999999871E-4</v>
      </c>
      <c r="F28">
        <f>Sheet8!B28+Sheet8!C28+Sheet8!E28</f>
        <v>5.4998300000000714E-4</v>
      </c>
      <c r="G28">
        <f>F28+Sheet8!D27+Sheet8!D28</f>
        <v>7.5996999999998808E-4</v>
      </c>
      <c r="H28">
        <v>5.5923399925000004</v>
      </c>
      <c r="I28" s="1">
        <f>G28*H28</f>
        <v>4.250010624100159E-3</v>
      </c>
    </row>
    <row r="29" spans="2:9" x14ac:dyDescent="0.3">
      <c r="B29">
        <v>1.6399620000000503E-3</v>
      </c>
      <c r="C29">
        <v>5.6999999999999998E-4</v>
      </c>
      <c r="D29">
        <v>-1.6999950000000374E-4</v>
      </c>
      <c r="E29">
        <v>-8.4000799999994769E-4</v>
      </c>
      <c r="F29">
        <f>Sheet8!B29+Sheet8!C29+Sheet8!E29</f>
        <v>1.3699540000001028E-3</v>
      </c>
      <c r="G29">
        <f>F29+Sheet8!D28+Sheet8!D29</f>
        <v>8.2992850000008968E-4</v>
      </c>
      <c r="H29">
        <v>5.5923399925000004</v>
      </c>
      <c r="I29">
        <f>G29*H29</f>
        <v>4.641242341466038E-3</v>
      </c>
    </row>
    <row r="30" spans="2:9" x14ac:dyDescent="0.3">
      <c r="B30">
        <v>-1.9000169999999761E-3</v>
      </c>
      <c r="C30">
        <v>-7.6997299999997937E-4</v>
      </c>
      <c r="D30">
        <v>5.5998599999998455E-4</v>
      </c>
      <c r="E30">
        <v>5.8996700000002456E-4</v>
      </c>
      <c r="F30">
        <f>Sheet8!B30+Sheet8!C30+Sheet8!E30</f>
        <v>-2.0800229999999309E-3</v>
      </c>
      <c r="G30">
        <f>F30+Sheet8!D29+Sheet8!D30</f>
        <v>-1.6900364999999501E-3</v>
      </c>
      <c r="H30">
        <v>5.5923399925000004</v>
      </c>
      <c r="I30" s="1">
        <f>G30*H30</f>
        <v>-9.451258707734448E-3</v>
      </c>
    </row>
    <row r="31" spans="2:9" x14ac:dyDescent="0.3">
      <c r="B31">
        <v>4.7004200000000385E-4</v>
      </c>
      <c r="C31">
        <v>2.7999999999999998E-4</v>
      </c>
      <c r="D31">
        <v>-4.5000749999998813E-4</v>
      </c>
      <c r="E31">
        <v>1.8000000000000001E-4</v>
      </c>
      <c r="F31">
        <f>Sheet8!B31+Sheet8!C31+Sheet8!E31</f>
        <v>9.3004200000000386E-4</v>
      </c>
      <c r="G31">
        <f>F31+Sheet8!D30+Sheet8!D31</f>
        <v>1.0400205000000002E-3</v>
      </c>
      <c r="H31">
        <v>5.5923399925000004</v>
      </c>
      <c r="I31">
        <f>G31*H31</f>
        <v>5.8161482351698473E-3</v>
      </c>
    </row>
    <row r="32" spans="2:9" x14ac:dyDescent="0.3">
      <c r="B32">
        <v>1.3799999999999999E-3</v>
      </c>
      <c r="C32">
        <v>4.500149999999703E-4</v>
      </c>
      <c r="D32">
        <v>-5.0007999999990282E-5</v>
      </c>
      <c r="E32">
        <v>-8.0001400000001555E-4</v>
      </c>
      <c r="F32">
        <f>Sheet8!B32+Sheet8!C32+Sheet8!E32</f>
        <v>1.0300009999999547E-3</v>
      </c>
      <c r="G32">
        <f>F32+Sheet8!D31+Sheet8!D32</f>
        <v>5.2998549999997628E-4</v>
      </c>
      <c r="H32">
        <v>5.5923399925000004</v>
      </c>
      <c r="I32" s="1">
        <f>G32*H32</f>
        <v>2.9638591070949762E-3</v>
      </c>
    </row>
    <row r="33" spans="2:9" x14ac:dyDescent="0.3">
      <c r="B33">
        <v>-2.0000039999999997E-3</v>
      </c>
      <c r="C33">
        <v>-7.899999999999574E-4</v>
      </c>
      <c r="D33">
        <v>5.099919999999869E-4</v>
      </c>
      <c r="E33">
        <v>6.9999999999999999E-4</v>
      </c>
      <c r="F33">
        <f>Sheet8!B33+Sheet8!C33+Sheet8!E33</f>
        <v>-2.090003999999957E-3</v>
      </c>
      <c r="G33">
        <f>F33+Sheet8!D32+Sheet8!D33</f>
        <v>-1.6300199999999604E-3</v>
      </c>
      <c r="H33">
        <v>5.5923399925000004</v>
      </c>
      <c r="I33">
        <f>G33*H33</f>
        <v>-9.1156260345746296E-3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19D6-891F-4FBC-A440-2A246F094B55}">
  <dimension ref="A1:R33"/>
  <sheetViews>
    <sheetView tabSelected="1" zoomScale="85" zoomScaleNormal="85" workbookViewId="0">
      <selection activeCell="F1" sqref="F1:R1048576"/>
    </sheetView>
  </sheetViews>
  <sheetFormatPr defaultRowHeight="1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</row>
    <row r="2" spans="1:18" x14ac:dyDescent="0.3">
      <c r="A2">
        <v>1</v>
      </c>
      <c r="B2">
        <v>8.4999999999999995E-4</v>
      </c>
      <c r="C2">
        <v>4.1997400000004514E-4</v>
      </c>
      <c r="D2">
        <v>-5.1999099999999743E-4</v>
      </c>
      <c r="E2">
        <v>2.0027000000033546E-5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3.2622490000000001E-3</v>
      </c>
      <c r="K2">
        <f t="shared" ref="K2:M17" si="0">C2*G2</f>
        <v>2.8339383548603046E-3</v>
      </c>
      <c r="L2" s="2">
        <f t="shared" si="0"/>
        <v>2.1691788558699894E-3</v>
      </c>
      <c r="M2">
        <f>E2*I2</f>
        <v>-4.4914753170075234E-5</v>
      </c>
      <c r="N2">
        <f>J2+K2+M2</f>
        <v>6.0512726016902297E-3</v>
      </c>
      <c r="O2">
        <f>N2+L2+L33</f>
        <v>6.0929841301202731E-3</v>
      </c>
      <c r="P2">
        <v>5.5923399925000004</v>
      </c>
      <c r="Q2">
        <v>61.229218359897359</v>
      </c>
      <c r="R2">
        <f>O2*P2*1602/Q2</f>
        <v>0.89151244551349973</v>
      </c>
    </row>
    <row r="3" spans="1:18" x14ac:dyDescent="0.3">
      <c r="A3">
        <v>2</v>
      </c>
      <c r="B3">
        <v>1.0600090000000284E-3</v>
      </c>
      <c r="C3">
        <v>3.2000000000000003E-4</v>
      </c>
      <c r="D3">
        <v>6.000700000000081E-5</v>
      </c>
      <c r="E3">
        <v>-7.200240000000413E-4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4.0682509414601093E-3</v>
      </c>
      <c r="K3">
        <f t="shared" si="0"/>
        <v>2.1593248000000001E-3</v>
      </c>
      <c r="L3" s="2">
        <f t="shared" si="0"/>
        <v>-2.503234009900034E-4</v>
      </c>
      <c r="M3">
        <f t="shared" si="0"/>
        <v>1.6148050250400928E-3</v>
      </c>
      <c r="N3">
        <f t="shared" ref="N3:N33" si="2">J3+K3+M3</f>
        <v>7.8423807665002031E-3</v>
      </c>
      <c r="O3">
        <f>N3+L2+L3</f>
        <v>9.7612362213801897E-3</v>
      </c>
      <c r="P3">
        <v>5.5923399925000004</v>
      </c>
      <c r="Q3">
        <v>61.229218359897359</v>
      </c>
      <c r="R3">
        <f t="shared" ref="R3:R33" si="3">O3*P3*1602/Q3</f>
        <v>1.4282432694906471</v>
      </c>
    </row>
    <row r="4" spans="1:18" x14ac:dyDescent="0.3">
      <c r="A4">
        <v>3</v>
      </c>
      <c r="B4">
        <v>-2.0300149999999961E-3</v>
      </c>
      <c r="C4">
        <v>-7.7998600000001028E-4</v>
      </c>
      <c r="D4">
        <v>4.5001499999999806E-4</v>
      </c>
      <c r="E4">
        <v>7.7998599999995477E-4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-7.7910757690999857E-3</v>
      </c>
      <c r="K4">
        <f t="shared" si="0"/>
        <v>-5.2632597295400691E-3</v>
      </c>
      <c r="L4" s="2">
        <f t="shared" si="0"/>
        <v>-1.8772690735499918E-3</v>
      </c>
      <c r="M4">
        <f t="shared" si="0"/>
        <v>-1.7492824020598986E-3</v>
      </c>
      <c r="N4">
        <f t="shared" si="2"/>
        <v>-1.4803617900699954E-2</v>
      </c>
      <c r="O4">
        <f t="shared" ref="O4:O33" si="4">N4+L3+L4</f>
        <v>-1.6931210375239949E-2</v>
      </c>
      <c r="P4">
        <v>5.5923399925000004</v>
      </c>
      <c r="Q4">
        <v>61.229218359897359</v>
      </c>
      <c r="R4">
        <f t="shared" si="3"/>
        <v>-2.4773385987525538</v>
      </c>
    </row>
    <row r="5" spans="1:18" x14ac:dyDescent="0.3">
      <c r="A5">
        <v>4</v>
      </c>
      <c r="B5">
        <v>1.1900070000000484E-3</v>
      </c>
      <c r="C5">
        <v>5.4000000000000001E-4</v>
      </c>
      <c r="D5">
        <v>-5.599934999999806E-4</v>
      </c>
      <c r="E5">
        <v>-1.5002500000005359E-4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4.5671754655801861E-3</v>
      </c>
      <c r="K5">
        <f t="shared" si="0"/>
        <v>3.6438605999999998E-3</v>
      </c>
      <c r="L5" s="2">
        <f t="shared" si="0"/>
        <v>2.3360520847949193E-3</v>
      </c>
      <c r="M5">
        <f t="shared" si="0"/>
        <v>3.3646256775012024E-4</v>
      </c>
      <c r="N5">
        <f t="shared" si="2"/>
        <v>8.5474986333303055E-3</v>
      </c>
      <c r="O5">
        <f t="shared" si="4"/>
        <v>9.0062816445752331E-3</v>
      </c>
      <c r="P5">
        <v>5.5923399925000004</v>
      </c>
      <c r="Q5">
        <v>61.229218359897359</v>
      </c>
      <c r="R5">
        <f t="shared" si="3"/>
        <v>1.3177799256437774</v>
      </c>
    </row>
    <row r="6" spans="1:18" x14ac:dyDescent="0.3">
      <c r="A6">
        <v>5</v>
      </c>
      <c r="B6">
        <v>6.9999999999999999E-4</v>
      </c>
      <c r="C6">
        <v>1.6999200000000769E-4</v>
      </c>
      <c r="D6">
        <v>1.6999200000000769E-4</v>
      </c>
      <c r="E6">
        <v>-6.2000800000000522E-4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2.6865579999999999E-3</v>
      </c>
      <c r="K6">
        <f t="shared" si="0"/>
        <v>1.1470873168800519E-3</v>
      </c>
      <c r="L6" s="2">
        <f t="shared" si="0"/>
        <v>-7.0913352744003211E-4</v>
      </c>
      <c r="M6">
        <f t="shared" si="0"/>
        <v>1.3904981416800119E-3</v>
      </c>
      <c r="N6">
        <f t="shared" si="2"/>
        <v>5.2241434585600637E-3</v>
      </c>
      <c r="O6">
        <f t="shared" si="4"/>
        <v>6.8510620159149506E-3</v>
      </c>
      <c r="P6">
        <v>5.5923399925000004</v>
      </c>
      <c r="Q6">
        <v>61.229218359897359</v>
      </c>
      <c r="R6">
        <f t="shared" si="3"/>
        <v>1.0024327852717414</v>
      </c>
    </row>
    <row r="7" spans="1:18" x14ac:dyDescent="0.3">
      <c r="A7">
        <v>6</v>
      </c>
      <c r="B7">
        <v>-1.9699930000000032E-3</v>
      </c>
      <c r="C7">
        <v>-7.3999199999996712E-4</v>
      </c>
      <c r="D7">
        <v>3.7001100000000342E-4</v>
      </c>
      <c r="E7">
        <v>8.4000000000000003E-4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-7.5607149344200123E-3</v>
      </c>
      <c r="K7">
        <f t="shared" si="0"/>
        <v>-4.9933846168797782E-3</v>
      </c>
      <c r="L7" s="2">
        <f t="shared" si="0"/>
        <v>-1.5435267872700143E-3</v>
      </c>
      <c r="M7">
        <f t="shared" si="0"/>
        <v>-1.8838764000000002E-3</v>
      </c>
      <c r="N7">
        <f t="shared" si="2"/>
        <v>-1.4437975951299789E-2</v>
      </c>
      <c r="O7">
        <f t="shared" si="4"/>
        <v>-1.6690636266009834E-2</v>
      </c>
      <c r="P7">
        <v>5.5923399925000004</v>
      </c>
      <c r="Q7">
        <v>61.229218359897402</v>
      </c>
      <c r="R7">
        <f t="shared" si="3"/>
        <v>-2.4421383080794272</v>
      </c>
    </row>
    <row r="8" spans="1:18" x14ac:dyDescent="0.3">
      <c r="A8">
        <v>7</v>
      </c>
      <c r="B8">
        <v>1.49E-3</v>
      </c>
      <c r="C8">
        <v>6.3997500000001484E-4</v>
      </c>
      <c r="D8">
        <v>-5.8001299999999034E-4</v>
      </c>
      <c r="E8">
        <v>-3.1000399999997486E-4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5.7185306000000005E-3</v>
      </c>
      <c r="K8">
        <f t="shared" si="0"/>
        <v>4.3184809027500999E-3</v>
      </c>
      <c r="L8" s="2">
        <f t="shared" si="0"/>
        <v>2.4195648304099599E-3</v>
      </c>
      <c r="M8">
        <f t="shared" si="0"/>
        <v>6.9524907083994372E-4</v>
      </c>
      <c r="N8">
        <f t="shared" si="2"/>
        <v>1.0732260573590044E-2</v>
      </c>
      <c r="O8">
        <f t="shared" si="4"/>
        <v>1.160829861672999E-2</v>
      </c>
      <c r="P8">
        <v>5.5923399925000004</v>
      </c>
      <c r="Q8">
        <v>61.229218359897402</v>
      </c>
      <c r="R8">
        <f t="shared" si="3"/>
        <v>1.6985015005853357</v>
      </c>
    </row>
    <row r="9" spans="1:18" x14ac:dyDescent="0.3">
      <c r="A9">
        <v>8</v>
      </c>
      <c r="B9">
        <v>3.2001699999995026E-4</v>
      </c>
      <c r="C9">
        <v>2.0000000000000002E-5</v>
      </c>
      <c r="D9">
        <v>2.800079999999705E-4</v>
      </c>
      <c r="E9">
        <v>-4.9001000000004069E-4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1.2282060449798091E-3</v>
      </c>
      <c r="K9">
        <f t="shared" si="0"/>
        <v>1.349578E-4</v>
      </c>
      <c r="L9" s="2">
        <f t="shared" si="0"/>
        <v>-1.1680729725598769E-3</v>
      </c>
      <c r="M9">
        <f t="shared" si="0"/>
        <v>1.0989503271000914E-3</v>
      </c>
      <c r="N9">
        <f t="shared" si="2"/>
        <v>2.4621141720799003E-3</v>
      </c>
      <c r="O9">
        <f t="shared" si="4"/>
        <v>3.7136060299299838E-3</v>
      </c>
      <c r="P9">
        <v>5.5923399925000004</v>
      </c>
      <c r="Q9">
        <v>61.229218359897402</v>
      </c>
      <c r="R9">
        <f t="shared" si="3"/>
        <v>0.54336691557264949</v>
      </c>
    </row>
    <row r="10" spans="1:18" x14ac:dyDescent="0.3">
      <c r="A10">
        <v>9</v>
      </c>
      <c r="B10">
        <v>-1.8399949999999832E-3</v>
      </c>
      <c r="C10">
        <v>-6.6998600000001129E-4</v>
      </c>
      <c r="D10">
        <v>2.7000899999998773E-4</v>
      </c>
      <c r="E10">
        <v>8.5997599999998453E-4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-7.0617904102999356E-3</v>
      </c>
      <c r="K10">
        <f t="shared" si="0"/>
        <v>-4.5209918295400758E-3</v>
      </c>
      <c r="L10" s="2">
        <f t="shared" si="0"/>
        <v>-1.1263614441299487E-3</v>
      </c>
      <c r="M10">
        <f t="shared" si="0"/>
        <v>-1.9286767749599654E-3</v>
      </c>
      <c r="N10">
        <f t="shared" si="2"/>
        <v>-1.3511459014799977E-2</v>
      </c>
      <c r="O10">
        <f t="shared" si="4"/>
        <v>-1.5805893431489804E-2</v>
      </c>
      <c r="P10">
        <v>5.5923399925000004</v>
      </c>
      <c r="Q10">
        <v>61.229218359897402</v>
      </c>
      <c r="R10">
        <f t="shared" si="3"/>
        <v>-2.3126846231183391</v>
      </c>
    </row>
    <row r="11" spans="1:18" x14ac:dyDescent="0.3">
      <c r="A11">
        <v>10</v>
      </c>
      <c r="B11">
        <v>1.7300249999999684E-3</v>
      </c>
      <c r="C11">
        <v>7.2000000000000005E-4</v>
      </c>
      <c r="D11">
        <v>-5.8000549999999429E-4</v>
      </c>
      <c r="E11">
        <v>-4.6002899999997293E-4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6.6397321484998788E-3</v>
      </c>
      <c r="K11">
        <f t="shared" si="0"/>
        <v>4.8584808000000004E-3</v>
      </c>
      <c r="L11" s="2">
        <f t="shared" si="0"/>
        <v>2.4195335436349762E-3</v>
      </c>
      <c r="M11">
        <f t="shared" si="0"/>
        <v>1.0317116385899394E-3</v>
      </c>
      <c r="N11">
        <f t="shared" si="2"/>
        <v>1.2529924587089819E-2</v>
      </c>
      <c r="O11">
        <f t="shared" si="4"/>
        <v>1.3823096686594847E-2</v>
      </c>
      <c r="P11">
        <v>5.5923399925000004</v>
      </c>
      <c r="Q11">
        <v>61.229218359897402</v>
      </c>
      <c r="R11">
        <f t="shared" si="3"/>
        <v>2.0225660314320328</v>
      </c>
    </row>
    <row r="12" spans="1:18" x14ac:dyDescent="0.3">
      <c r="A12">
        <v>11</v>
      </c>
      <c r="B12">
        <v>-7.9988999999947019E-5</v>
      </c>
      <c r="C12">
        <v>-1.2999800000002004E-4</v>
      </c>
      <c r="D12">
        <v>3.7002600000002328E-4</v>
      </c>
      <c r="E12">
        <v>-3.4001500000002682E-4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-3.0699298265979665E-4</v>
      </c>
      <c r="K12">
        <f t="shared" si="0"/>
        <v>-8.772122042201352E-4</v>
      </c>
      <c r="L12" s="2">
        <f t="shared" si="0"/>
        <v>-1.543589360820097E-3</v>
      </c>
      <c r="M12">
        <f t="shared" si="0"/>
        <v>7.6255504065006019E-4</v>
      </c>
      <c r="N12">
        <f t="shared" si="2"/>
        <v>-4.2165014622987172E-4</v>
      </c>
      <c r="O12">
        <f t="shared" si="4"/>
        <v>4.5429403658500721E-4</v>
      </c>
      <c r="P12">
        <v>5.5923399925000004</v>
      </c>
      <c r="Q12">
        <v>61.229218359897402</v>
      </c>
      <c r="R12">
        <f t="shared" si="3"/>
        <v>6.6471334716918754E-2</v>
      </c>
    </row>
    <row r="13" spans="1:18" x14ac:dyDescent="0.3">
      <c r="A13">
        <v>12</v>
      </c>
      <c r="B13">
        <v>-1.639991999999979E-3</v>
      </c>
      <c r="C13">
        <v>-5.6999899999998771E-4</v>
      </c>
      <c r="D13">
        <v>1.6999200000000769E-4</v>
      </c>
      <c r="E13">
        <v>8.4000000000000003E-4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-6.2941908964799197E-3</v>
      </c>
      <c r="K13">
        <f t="shared" si="0"/>
        <v>-3.8462905521099169E-3</v>
      </c>
      <c r="L13" s="2">
        <f t="shared" si="0"/>
        <v>-7.0913352744003211E-4</v>
      </c>
      <c r="M13">
        <f t="shared" si="0"/>
        <v>-1.8838764000000002E-3</v>
      </c>
      <c r="N13">
        <f t="shared" si="2"/>
        <v>-1.2024357848589837E-2</v>
      </c>
      <c r="O13">
        <f t="shared" si="4"/>
        <v>-1.4277080736849966E-2</v>
      </c>
      <c r="P13">
        <v>5.5923399925000004</v>
      </c>
      <c r="Q13">
        <v>61.229218359897402</v>
      </c>
      <c r="R13">
        <f t="shared" si="3"/>
        <v>-2.0889920096101631</v>
      </c>
    </row>
    <row r="14" spans="1:18" x14ac:dyDescent="0.3">
      <c r="A14">
        <v>13</v>
      </c>
      <c r="B14">
        <v>1.9E-3</v>
      </c>
      <c r="C14">
        <v>7.6997300000003488E-4</v>
      </c>
      <c r="D14">
        <v>-5.5998599999998455E-4</v>
      </c>
      <c r="E14">
        <v>-5.8999700000000876E-4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7.2920860000000006E-3</v>
      </c>
      <c r="K14">
        <f t="shared" si="0"/>
        <v>5.1956931069702351E-3</v>
      </c>
      <c r="L14" s="2">
        <f t="shared" si="0"/>
        <v>2.3360207980199356E-3</v>
      </c>
      <c r="M14">
        <f t="shared" si="0"/>
        <v>1.3231921718700197E-3</v>
      </c>
      <c r="N14">
        <f t="shared" si="2"/>
        <v>1.3810971278840255E-2</v>
      </c>
      <c r="O14">
        <f t="shared" si="4"/>
        <v>1.5437858549420159E-2</v>
      </c>
      <c r="P14">
        <v>5.5923399925000004</v>
      </c>
      <c r="Q14">
        <v>61.229218359897402</v>
      </c>
      <c r="R14">
        <f t="shared" si="3"/>
        <v>2.2588345439549613</v>
      </c>
    </row>
    <row r="15" spans="1:18" x14ac:dyDescent="0.3">
      <c r="A15">
        <v>14</v>
      </c>
      <c r="B15">
        <v>-4.7001200000001964E-4</v>
      </c>
      <c r="C15">
        <v>-2.8002299999996261E-4</v>
      </c>
      <c r="D15">
        <v>4.499999999999782E-4</v>
      </c>
      <c r="E15">
        <v>-1.8000600000001032E-4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-1.8038778552800754E-3</v>
      </c>
      <c r="K15">
        <f t="shared" si="0"/>
        <v>-1.8895644014697477E-3</v>
      </c>
      <c r="L15" s="2">
        <f t="shared" si="0"/>
        <v>-1.8772064999999091E-3</v>
      </c>
      <c r="M15">
        <f t="shared" si="0"/>
        <v>4.037012562600232E-4</v>
      </c>
      <c r="N15">
        <f t="shared" si="2"/>
        <v>-3.2897410004897997E-3</v>
      </c>
      <c r="O15">
        <f t="shared" si="4"/>
        <v>-2.8309267024697734E-3</v>
      </c>
      <c r="P15">
        <v>5.5923399925000004</v>
      </c>
      <c r="Q15">
        <v>61.229218359897402</v>
      </c>
      <c r="R15">
        <f t="shared" si="3"/>
        <v>-0.41421515856442487</v>
      </c>
    </row>
    <row r="16" spans="1:18" x14ac:dyDescent="0.3">
      <c r="A16">
        <v>15</v>
      </c>
      <c r="B16">
        <v>-1.3800259999999787E-3</v>
      </c>
      <c r="C16">
        <v>-4.4998499999998609E-4</v>
      </c>
      <c r="D16">
        <v>5.0007999999990282E-5</v>
      </c>
      <c r="E16">
        <v>8.0001399999996003E-4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-5.2964569864399182E-3</v>
      </c>
      <c r="K16">
        <f t="shared" si="0"/>
        <v>-3.0364492816499062E-3</v>
      </c>
      <c r="L16" s="2">
        <f t="shared" si="0"/>
        <v>-2.0861187255995947E-4</v>
      </c>
      <c r="M16">
        <f t="shared" si="0"/>
        <v>-1.7941993979399106E-3</v>
      </c>
      <c r="N16">
        <f t="shared" si="2"/>
        <v>-1.0127105666029734E-2</v>
      </c>
      <c r="O16">
        <f t="shared" si="4"/>
        <v>-1.2212924038589602E-2</v>
      </c>
      <c r="P16">
        <v>5.5923399925000004</v>
      </c>
      <c r="Q16">
        <v>61.229218359897402</v>
      </c>
      <c r="R16">
        <f t="shared" si="3"/>
        <v>-1.7869690030357408</v>
      </c>
    </row>
    <row r="17" spans="1:18" x14ac:dyDescent="0.3">
      <c r="A17">
        <v>16</v>
      </c>
      <c r="B17">
        <v>1.99997399999996E-3</v>
      </c>
      <c r="C17">
        <v>7.9000000000000001E-4</v>
      </c>
      <c r="D17">
        <v>-5.0999200000000078E-4</v>
      </c>
      <c r="E17">
        <v>-6.9999700000000775E-4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7.6757802135598461E-3</v>
      </c>
      <c r="K17">
        <f t="shared" si="0"/>
        <v>5.3308330999999997E-3</v>
      </c>
      <c r="L17" s="2">
        <f t="shared" si="0"/>
        <v>2.1274673274400031E-3</v>
      </c>
      <c r="M17">
        <f t="shared" si="0"/>
        <v>1.5698902718700176E-3</v>
      </c>
      <c r="N17">
        <f t="shared" si="2"/>
        <v>1.4576503585429862E-2</v>
      </c>
      <c r="O17">
        <f t="shared" si="4"/>
        <v>1.6495359040309906E-2</v>
      </c>
      <c r="P17">
        <v>5.5923399925000004</v>
      </c>
      <c r="Q17">
        <v>61.229218359897402</v>
      </c>
      <c r="R17">
        <f t="shared" si="3"/>
        <v>2.4135657608153993</v>
      </c>
    </row>
    <row r="18" spans="1:18" x14ac:dyDescent="0.3">
      <c r="A18">
        <v>17</v>
      </c>
      <c r="B18">
        <v>-8.5002199999995032E-4</v>
      </c>
      <c r="C18">
        <v>-4.1997399999998963E-4</v>
      </c>
      <c r="D18">
        <v>5.1999099999999743E-4</v>
      </c>
      <c r="E18">
        <v>-2.0026999999978035E-5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-3.2623334346798096E-3</v>
      </c>
      <c r="K18">
        <f t="shared" si="1"/>
        <v>-2.8339383548599299E-3</v>
      </c>
      <c r="L18" s="2">
        <f t="shared" si="1"/>
        <v>-2.1691788558699894E-3</v>
      </c>
      <c r="M18">
        <f t="shared" si="1"/>
        <v>4.4914753169950741E-5</v>
      </c>
      <c r="N18">
        <f t="shared" si="2"/>
        <v>-6.0513570363697885E-3</v>
      </c>
      <c r="O18">
        <f t="shared" si="4"/>
        <v>-6.0930685647997748E-3</v>
      </c>
      <c r="P18">
        <v>5.5923399925000004</v>
      </c>
      <c r="Q18">
        <v>61.229218359897402</v>
      </c>
      <c r="R18">
        <f t="shared" si="3"/>
        <v>-0.89152479981575894</v>
      </c>
    </row>
    <row r="19" spans="1:18" x14ac:dyDescent="0.3">
      <c r="A19">
        <v>18</v>
      </c>
      <c r="B19">
        <v>-1.0600089999999729E-3</v>
      </c>
      <c r="C19">
        <v>-3.2001699999995026E-4</v>
      </c>
      <c r="D19">
        <v>-5.9984500000012653E-5</v>
      </c>
      <c r="E19">
        <v>7.2000000000000005E-4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-4.068250941459896E-3</v>
      </c>
      <c r="K19">
        <f t="shared" si="5"/>
        <v>-2.1594395141296642E-3</v>
      </c>
      <c r="L19" s="2">
        <f t="shared" si="5"/>
        <v>2.502295406650528E-4</v>
      </c>
      <c r="M19">
        <f t="shared" si="5"/>
        <v>-1.6147512000000003E-3</v>
      </c>
      <c r="N19">
        <f t="shared" si="2"/>
        <v>-7.8424416555895604E-3</v>
      </c>
      <c r="O19">
        <f t="shared" si="4"/>
        <v>-9.7613909707944986E-3</v>
      </c>
      <c r="P19">
        <v>5.5923399925000004</v>
      </c>
      <c r="Q19">
        <v>61.229218359897402</v>
      </c>
      <c r="R19">
        <f t="shared" si="3"/>
        <v>-1.428265912094967</v>
      </c>
    </row>
    <row r="20" spans="1:18" x14ac:dyDescent="0.3">
      <c r="A20">
        <v>19</v>
      </c>
      <c r="B20">
        <v>2.0300000000000001E-3</v>
      </c>
      <c r="C20">
        <v>7.7998599999995477E-4</v>
      </c>
      <c r="D20">
        <v>-4.5001499999998418E-4</v>
      </c>
      <c r="E20">
        <v>-7.7998600000001028E-4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7.7910182000000003E-3</v>
      </c>
      <c r="K20">
        <f t="shared" si="5"/>
        <v>5.2632597295396944E-3</v>
      </c>
      <c r="L20" s="2">
        <f t="shared" si="5"/>
        <v>1.8772690735499339E-3</v>
      </c>
      <c r="M20">
        <f t="shared" si="5"/>
        <v>1.7492824020600233E-3</v>
      </c>
      <c r="N20">
        <f t="shared" si="2"/>
        <v>1.4803560331599718E-2</v>
      </c>
      <c r="O20">
        <f t="shared" si="4"/>
        <v>1.6931058945814703E-2</v>
      </c>
      <c r="P20">
        <v>5.5923399925000004</v>
      </c>
      <c r="Q20">
        <v>61.229218359897402</v>
      </c>
      <c r="R20">
        <f t="shared" si="3"/>
        <v>2.4773164419219516</v>
      </c>
    </row>
    <row r="21" spans="1:18" x14ac:dyDescent="0.3">
      <c r="A21">
        <v>20</v>
      </c>
      <c r="B21">
        <v>-1.1900069999999929E-3</v>
      </c>
      <c r="C21">
        <v>-5.4001800000003097E-4</v>
      </c>
      <c r="D21">
        <v>5.5998599999998455E-4</v>
      </c>
      <c r="E21">
        <v>1.4999999999999999E-4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-4.5671754655799727E-3</v>
      </c>
      <c r="K21">
        <f t="shared" si="5"/>
        <v>-3.6439820620202089E-3</v>
      </c>
      <c r="L21" s="2">
        <f t="shared" si="5"/>
        <v>-2.3360207980199356E-3</v>
      </c>
      <c r="M21">
        <f t="shared" si="5"/>
        <v>-3.3640649999999999E-4</v>
      </c>
      <c r="N21">
        <f t="shared" si="2"/>
        <v>-8.5475640276001831E-3</v>
      </c>
      <c r="O21">
        <f t="shared" si="4"/>
        <v>-9.0063157520701848E-3</v>
      </c>
      <c r="P21">
        <v>5.5923399925000004</v>
      </c>
      <c r="Q21">
        <v>61.229218359897402</v>
      </c>
      <c r="R21">
        <f t="shared" si="3"/>
        <v>-1.3177849161797086</v>
      </c>
    </row>
    <row r="22" spans="1:18" x14ac:dyDescent="0.3">
      <c r="A22">
        <v>21</v>
      </c>
      <c r="B22">
        <v>-6.9999700000000775E-4</v>
      </c>
      <c r="C22">
        <v>-1.6999200000000769E-4</v>
      </c>
      <c r="D22">
        <v>-1.6999200000000769E-4</v>
      </c>
      <c r="E22">
        <v>6.2000799999994971E-4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-2.68654648618003E-3</v>
      </c>
      <c r="K22">
        <f t="shared" si="5"/>
        <v>-1.1470873168800519E-3</v>
      </c>
      <c r="L22" s="2">
        <f t="shared" si="5"/>
        <v>7.0913352744003211E-4</v>
      </c>
      <c r="M22">
        <f t="shared" si="5"/>
        <v>-1.3904981416798874E-3</v>
      </c>
      <c r="N22">
        <f t="shared" si="2"/>
        <v>-5.2241319447399693E-3</v>
      </c>
      <c r="O22">
        <f t="shared" si="4"/>
        <v>-6.851019215319872E-3</v>
      </c>
      <c r="P22">
        <v>5.5923399925000004</v>
      </c>
      <c r="Q22">
        <v>61.229218359897402</v>
      </c>
      <c r="R22">
        <f t="shared" si="3"/>
        <v>-1.0024265227799349</v>
      </c>
    </row>
    <row r="23" spans="1:18" x14ac:dyDescent="0.3">
      <c r="A23">
        <v>22</v>
      </c>
      <c r="B23">
        <v>1.9699930000000032E-3</v>
      </c>
      <c r="C23">
        <v>7.3999999999999999E-4</v>
      </c>
      <c r="D23">
        <v>-3.700110000000173E-4</v>
      </c>
      <c r="E23">
        <v>-8.4000799999994769E-4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7.5607149344200123E-3</v>
      </c>
      <c r="K23">
        <f t="shared" si="5"/>
        <v>4.9934385999999996E-3</v>
      </c>
      <c r="L23" s="2">
        <f t="shared" si="5"/>
        <v>1.5435267872700722E-3</v>
      </c>
      <c r="M23">
        <f t="shared" si="5"/>
        <v>1.8838943416798828E-3</v>
      </c>
      <c r="N23">
        <f t="shared" si="2"/>
        <v>1.4438047876099895E-2</v>
      </c>
      <c r="O23">
        <f t="shared" si="4"/>
        <v>1.6690708190809998E-2</v>
      </c>
      <c r="P23">
        <v>5.5923399925000004</v>
      </c>
      <c r="Q23">
        <v>61.229218359897402</v>
      </c>
      <c r="R23">
        <f t="shared" si="3"/>
        <v>2.4421488319628177</v>
      </c>
    </row>
    <row r="24" spans="1:18" x14ac:dyDescent="0.3">
      <c r="A24">
        <v>23</v>
      </c>
      <c r="B24">
        <v>-1.4899969999999652E-3</v>
      </c>
      <c r="C24">
        <v>-6.3997500000001484E-4</v>
      </c>
      <c r="D24">
        <v>5.8001299999999034E-4</v>
      </c>
      <c r="E24">
        <v>3.1000400000003037E-4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-5.7185190861798662E-3</v>
      </c>
      <c r="K24">
        <f t="shared" si="5"/>
        <v>-4.3184809027500999E-3</v>
      </c>
      <c r="L24" s="2">
        <f t="shared" si="5"/>
        <v>-2.4195648304099599E-3</v>
      </c>
      <c r="M24">
        <f t="shared" si="5"/>
        <v>-6.9524907084006818E-4</v>
      </c>
      <c r="N24">
        <f t="shared" si="2"/>
        <v>-1.0732249059770035E-2</v>
      </c>
      <c r="O24">
        <f t="shared" si="4"/>
        <v>-1.1608287102909924E-2</v>
      </c>
      <c r="P24">
        <v>5.5923399925000004</v>
      </c>
      <c r="Q24">
        <v>61.229218359897402</v>
      </c>
      <c r="R24">
        <f t="shared" si="3"/>
        <v>-1.6984998159077351</v>
      </c>
    </row>
    <row r="25" spans="1:18" x14ac:dyDescent="0.3">
      <c r="A25">
        <v>24</v>
      </c>
      <c r="B25">
        <v>-3.2001700000000577E-4</v>
      </c>
      <c r="C25">
        <v>-2.0027000000033546E-5</v>
      </c>
      <c r="D25">
        <v>-2.8000799999998438E-4</v>
      </c>
      <c r="E25">
        <v>4.8999999999999998E-4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-1.2282060449800222E-3</v>
      </c>
      <c r="K25">
        <f t="shared" si="5"/>
        <v>-1.3513999303022638E-4</v>
      </c>
      <c r="L25" s="2">
        <f t="shared" si="5"/>
        <v>1.1680729725599347E-3</v>
      </c>
      <c r="M25">
        <f t="shared" si="5"/>
        <v>-1.0989279000000001E-3</v>
      </c>
      <c r="N25">
        <f t="shared" si="2"/>
        <v>-2.4622739380102485E-3</v>
      </c>
      <c r="O25">
        <f t="shared" si="4"/>
        <v>-3.7137657958602743E-3</v>
      </c>
      <c r="P25">
        <v>5.5923399925000004</v>
      </c>
      <c r="Q25">
        <v>61.229218359897402</v>
      </c>
      <c r="R25">
        <f t="shared" si="3"/>
        <v>-0.54339029218289203</v>
      </c>
    </row>
    <row r="26" spans="1:18" x14ac:dyDescent="0.3">
      <c r="A26">
        <v>25</v>
      </c>
      <c r="B26">
        <v>1.8400000000000001E-3</v>
      </c>
      <c r="C26">
        <v>6.6995599999997157E-4</v>
      </c>
      <c r="D26">
        <v>-2.7000899999997385E-4</v>
      </c>
      <c r="E26">
        <v>-8.5997599999998453E-4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7.0618096000000007E-3</v>
      </c>
      <c r="K26">
        <f t="shared" si="5"/>
        <v>4.5207893928398083E-3</v>
      </c>
      <c r="L26" s="2">
        <f t="shared" si="5"/>
        <v>1.1263614441298908E-3</v>
      </c>
      <c r="M26">
        <f t="shared" si="5"/>
        <v>1.9286767749599654E-3</v>
      </c>
      <c r="N26">
        <f t="shared" si="2"/>
        <v>1.3511275767799775E-2</v>
      </c>
      <c r="O26">
        <f t="shared" si="4"/>
        <v>1.5805710184489601E-2</v>
      </c>
      <c r="P26">
        <v>5.5923399925000004</v>
      </c>
      <c r="Q26">
        <v>61.229218359897402</v>
      </c>
      <c r="R26">
        <f t="shared" si="3"/>
        <v>2.3126578108080169</v>
      </c>
    </row>
    <row r="27" spans="1:18" x14ac:dyDescent="0.3">
      <c r="A27">
        <v>26</v>
      </c>
      <c r="B27">
        <v>-1.7300250000000239E-3</v>
      </c>
      <c r="C27">
        <v>-7.200240000000413E-4</v>
      </c>
      <c r="D27">
        <v>5.8001299999999034E-4</v>
      </c>
      <c r="E27">
        <v>4.6000000000000001E-4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-6.6397321485000922E-3</v>
      </c>
      <c r="K27">
        <f t="shared" si="5"/>
        <v>-4.8586427493602785E-3</v>
      </c>
      <c r="L27" s="2">
        <f t="shared" si="5"/>
        <v>-2.4195648304099599E-3</v>
      </c>
      <c r="M27">
        <f t="shared" si="5"/>
        <v>-1.0316466000000002E-3</v>
      </c>
      <c r="N27">
        <f t="shared" si="2"/>
        <v>-1.2530021497860372E-2</v>
      </c>
      <c r="O27">
        <f t="shared" si="4"/>
        <v>-1.3823224884140442E-2</v>
      </c>
      <c r="P27">
        <v>5.5923399925000004</v>
      </c>
      <c r="Q27">
        <v>61.229218359897402</v>
      </c>
      <c r="R27">
        <f t="shared" si="3"/>
        <v>-2.0225847890235418</v>
      </c>
    </row>
    <row r="28" spans="1:18" x14ac:dyDescent="0.3">
      <c r="A28">
        <v>27</v>
      </c>
      <c r="B28">
        <v>8.0000000000000007E-5</v>
      </c>
      <c r="C28">
        <v>1.2999800000002004E-4</v>
      </c>
      <c r="D28">
        <v>-3.700260000000094E-4</v>
      </c>
      <c r="E28">
        <v>3.399849999999871E-4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3.0703520000000006E-4</v>
      </c>
      <c r="K28">
        <f t="shared" si="5"/>
        <v>8.772122042201352E-4</v>
      </c>
      <c r="L28" s="2">
        <f t="shared" si="5"/>
        <v>1.5435893608200392E-3</v>
      </c>
      <c r="M28">
        <f t="shared" si="5"/>
        <v>-7.6248775934997109E-4</v>
      </c>
      <c r="N28">
        <f t="shared" si="2"/>
        <v>4.2175964487016417E-4</v>
      </c>
      <c r="O28">
        <f t="shared" si="4"/>
        <v>-4.5421582471975668E-4</v>
      </c>
      <c r="P28">
        <v>5.5923399925000004</v>
      </c>
      <c r="Q28">
        <v>61.229218359897402</v>
      </c>
      <c r="R28">
        <f t="shared" si="3"/>
        <v>-6.6459890923570769E-2</v>
      </c>
    </row>
    <row r="29" spans="1:18" x14ac:dyDescent="0.3">
      <c r="A29">
        <v>28</v>
      </c>
      <c r="B29">
        <v>1.6399620000000503E-3</v>
      </c>
      <c r="C29">
        <v>5.6999999999999998E-4</v>
      </c>
      <c r="D29">
        <v>-1.6999950000000374E-4</v>
      </c>
      <c r="E29">
        <v>-8.4000799999994769E-4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6.2940757582801935E-3</v>
      </c>
      <c r="K29">
        <f t="shared" si="5"/>
        <v>3.8462972999999999E-3</v>
      </c>
      <c r="L29" s="2">
        <f t="shared" si="5"/>
        <v>7.0916481421501559E-4</v>
      </c>
      <c r="M29">
        <f t="shared" si="5"/>
        <v>1.8838943416798828E-3</v>
      </c>
      <c r="N29">
        <f t="shared" si="2"/>
        <v>1.2024267399960077E-2</v>
      </c>
      <c r="O29">
        <f t="shared" si="4"/>
        <v>1.427702157499513E-2</v>
      </c>
      <c r="P29">
        <v>5.5923399925000004</v>
      </c>
      <c r="Q29">
        <v>61.229218359897402</v>
      </c>
      <c r="R29">
        <f t="shared" si="3"/>
        <v>2.0889833531737176</v>
      </c>
    </row>
    <row r="30" spans="1:18" x14ac:dyDescent="0.3">
      <c r="A30">
        <v>29</v>
      </c>
      <c r="B30">
        <v>-1.9000169999999761E-3</v>
      </c>
      <c r="C30">
        <v>-7.6997299999997937E-4</v>
      </c>
      <c r="D30">
        <v>5.5998599999998455E-4</v>
      </c>
      <c r="E30">
        <v>5.8996700000002456E-4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-7.2921512449799081E-3</v>
      </c>
      <c r="K30">
        <f t="shared" si="5"/>
        <v>-5.1956931069698604E-3</v>
      </c>
      <c r="L30" s="2">
        <f t="shared" si="5"/>
        <v>-2.3360207980199356E-3</v>
      </c>
      <c r="M30">
        <f t="shared" si="5"/>
        <v>-1.3231248905700552E-3</v>
      </c>
      <c r="N30">
        <f t="shared" si="2"/>
        <v>-1.3810969242519825E-2</v>
      </c>
      <c r="O30">
        <f t="shared" si="4"/>
        <v>-1.5437825226324746E-2</v>
      </c>
      <c r="P30">
        <v>5.5923399925000004</v>
      </c>
      <c r="Q30">
        <v>61.229218359897402</v>
      </c>
      <c r="R30">
        <f t="shared" si="3"/>
        <v>-2.258829668190697</v>
      </c>
    </row>
    <row r="31" spans="1:18" x14ac:dyDescent="0.3">
      <c r="A31">
        <v>30</v>
      </c>
      <c r="B31">
        <v>4.7004200000000385E-4</v>
      </c>
      <c r="C31">
        <v>2.7999999999999998E-4</v>
      </c>
      <c r="D31">
        <v>-4.5000749999998813E-4</v>
      </c>
      <c r="E31">
        <v>1.8000000000000001E-4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1.8039929934800148E-3</v>
      </c>
      <c r="K31">
        <f t="shared" si="5"/>
        <v>1.8894091999999997E-3</v>
      </c>
      <c r="L31" s="2">
        <f t="shared" si="5"/>
        <v>1.8772377867749504E-3</v>
      </c>
      <c r="M31">
        <f t="shared" si="5"/>
        <v>-4.0368780000000007E-4</v>
      </c>
      <c r="N31">
        <f t="shared" si="2"/>
        <v>3.2897143934800142E-3</v>
      </c>
      <c r="O31">
        <f t="shared" si="4"/>
        <v>2.8309313822350293E-3</v>
      </c>
      <c r="P31">
        <v>5.5923399925000004</v>
      </c>
      <c r="Q31">
        <v>61.229218359897402</v>
      </c>
      <c r="R31">
        <f t="shared" si="3"/>
        <v>0.41421584329769817</v>
      </c>
    </row>
    <row r="32" spans="1:18" x14ac:dyDescent="0.3">
      <c r="A32">
        <v>31</v>
      </c>
      <c r="B32">
        <v>1.3799999999999999E-3</v>
      </c>
      <c r="C32">
        <v>4.500149999999703E-4</v>
      </c>
      <c r="D32">
        <v>-5.0007999999990282E-5</v>
      </c>
      <c r="E32">
        <v>-8.0001400000001555E-4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5.2963571999999999E-3</v>
      </c>
      <c r="K32">
        <f t="shared" si="5"/>
        <v>3.0366517183497994E-3</v>
      </c>
      <c r="L32" s="2">
        <f t="shared" si="5"/>
        <v>2.0861187255995947E-4</v>
      </c>
      <c r="M32">
        <f t="shared" si="5"/>
        <v>1.7941993979400351E-3</v>
      </c>
      <c r="N32">
        <f t="shared" si="2"/>
        <v>1.0127208316289833E-2</v>
      </c>
      <c r="O32">
        <f t="shared" si="4"/>
        <v>1.2213057975624744E-2</v>
      </c>
      <c r="P32">
        <v>5.5923399925000004</v>
      </c>
      <c r="Q32">
        <v>61.229218359897402</v>
      </c>
      <c r="R32">
        <f t="shared" si="3"/>
        <v>1.7869886004171214</v>
      </c>
    </row>
    <row r="33" spans="1:18" x14ac:dyDescent="0.3">
      <c r="A33">
        <v>32</v>
      </c>
      <c r="B33">
        <v>-2.0000039999999997E-3</v>
      </c>
      <c r="C33">
        <v>-7.899999999999574E-4</v>
      </c>
      <c r="D33">
        <v>5.099919999999869E-4</v>
      </c>
      <c r="E33">
        <v>6.9999999999999999E-4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-7.675895351759999E-3</v>
      </c>
      <c r="K33">
        <f t="shared" si="5"/>
        <v>-5.3308330999997126E-3</v>
      </c>
      <c r="L33" s="2">
        <f t="shared" si="5"/>
        <v>-2.1274673274399455E-3</v>
      </c>
      <c r="M33">
        <f t="shared" si="5"/>
        <v>-1.5698970000000002E-3</v>
      </c>
      <c r="N33">
        <f t="shared" si="2"/>
        <v>-1.4576625451759712E-2</v>
      </c>
      <c r="O33">
        <f t="shared" si="4"/>
        <v>-1.6495480906639697E-2</v>
      </c>
      <c r="P33">
        <v>5.5923399925000004</v>
      </c>
      <c r="Q33">
        <v>61.229218359897402</v>
      </c>
      <c r="R33">
        <f t="shared" si="3"/>
        <v>-2.4135835920369115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yajun zhang</cp:lastModifiedBy>
  <dcterms:created xsi:type="dcterms:W3CDTF">2015-06-05T18:19:34Z</dcterms:created>
  <dcterms:modified xsi:type="dcterms:W3CDTF">2025-04-28T12:36:11Z</dcterms:modified>
</cp:coreProperties>
</file>