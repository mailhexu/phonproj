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:\LZU\perovskite-domain\PbTiO3\strain\0.02\320\320\displacement-field\SM2-3\"/>
    </mc:Choice>
  </mc:AlternateContent>
  <xr:revisionPtr revIDLastSave="0" documentId="13_ncr:1_{D713A1D0-F7B7-448C-8DB8-13AB578DE19D}" xr6:coauthVersionLast="47" xr6:coauthVersionMax="47" xr10:uidLastSave="{00000000-0000-0000-0000-000000000000}"/>
  <bookViews>
    <workbookView xWindow="-110" yWindow="-110" windowWidth="19420" windowHeight="10420" activeTab="7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3" i="7" l="1"/>
  <c r="J33" i="7"/>
  <c r="J32" i="7"/>
  <c r="L32" i="7" s="1"/>
  <c r="L31" i="7"/>
  <c r="J31" i="7"/>
  <c r="J30" i="7"/>
  <c r="L30" i="7" s="1"/>
  <c r="L29" i="7"/>
  <c r="J29" i="7"/>
  <c r="J28" i="7"/>
  <c r="L28" i="7" s="1"/>
  <c r="L27" i="7"/>
  <c r="J27" i="7"/>
  <c r="J26" i="7"/>
  <c r="L26" i="7" s="1"/>
  <c r="L25" i="7"/>
  <c r="J25" i="7"/>
  <c r="J24" i="7"/>
  <c r="L24" i="7" s="1"/>
  <c r="L23" i="7"/>
  <c r="J23" i="7"/>
  <c r="J22" i="7"/>
  <c r="L22" i="7" s="1"/>
  <c r="L21" i="7"/>
  <c r="J21" i="7"/>
  <c r="J20" i="7"/>
  <c r="L20" i="7" s="1"/>
  <c r="L19" i="7"/>
  <c r="J19" i="7"/>
  <c r="J18" i="7"/>
  <c r="L18" i="7" s="1"/>
  <c r="L17" i="7"/>
  <c r="J17" i="7"/>
  <c r="J16" i="7"/>
  <c r="L16" i="7" s="1"/>
  <c r="L15" i="7"/>
  <c r="J15" i="7"/>
  <c r="J14" i="7"/>
  <c r="L14" i="7" s="1"/>
  <c r="L13" i="7"/>
  <c r="J13" i="7"/>
  <c r="J12" i="7"/>
  <c r="L12" i="7" s="1"/>
  <c r="L11" i="7"/>
  <c r="J11" i="7"/>
  <c r="J10" i="7"/>
  <c r="L10" i="7" s="1"/>
  <c r="L9" i="7"/>
  <c r="J9" i="7"/>
  <c r="J8" i="7"/>
  <c r="L8" i="7" s="1"/>
  <c r="L7" i="7"/>
  <c r="J7" i="7"/>
  <c r="J6" i="7"/>
  <c r="L6" i="7" s="1"/>
  <c r="L5" i="7"/>
  <c r="J5" i="7"/>
  <c r="J4" i="7"/>
  <c r="L4" i="7" s="1"/>
  <c r="L3" i="7"/>
  <c r="J3" i="7"/>
  <c r="J2" i="7"/>
  <c r="L2" i="7" s="1"/>
  <c r="M33" i="8"/>
  <c r="N33" i="8" s="1"/>
  <c r="O33" i="8" s="1"/>
  <c r="R33" i="8" s="1"/>
  <c r="L33" i="8"/>
  <c r="K33" i="8"/>
  <c r="J33" i="8"/>
  <c r="M32" i="8"/>
  <c r="L32" i="8"/>
  <c r="K32" i="8"/>
  <c r="J32" i="8"/>
  <c r="N32" i="8" s="1"/>
  <c r="O32" i="8" s="1"/>
  <c r="R32" i="8" s="1"/>
  <c r="M31" i="8"/>
  <c r="L31" i="8"/>
  <c r="K31" i="8"/>
  <c r="J31" i="8"/>
  <c r="N31" i="8" s="1"/>
  <c r="O31" i="8" s="1"/>
  <c r="R31" i="8" s="1"/>
  <c r="M30" i="8"/>
  <c r="L30" i="8"/>
  <c r="K30" i="8"/>
  <c r="J30" i="8"/>
  <c r="N30" i="8" s="1"/>
  <c r="O30" i="8" s="1"/>
  <c r="R30" i="8" s="1"/>
  <c r="M29" i="8"/>
  <c r="L29" i="8"/>
  <c r="K29" i="8"/>
  <c r="J29" i="8"/>
  <c r="N29" i="8" s="1"/>
  <c r="O29" i="8" s="1"/>
  <c r="R29" i="8" s="1"/>
  <c r="M28" i="8"/>
  <c r="L28" i="8"/>
  <c r="K28" i="8"/>
  <c r="J28" i="8"/>
  <c r="N28" i="8" s="1"/>
  <c r="O28" i="8" s="1"/>
  <c r="R28" i="8" s="1"/>
  <c r="N27" i="8"/>
  <c r="O27" i="8" s="1"/>
  <c r="R27" i="8" s="1"/>
  <c r="M27" i="8"/>
  <c r="L27" i="8"/>
  <c r="K27" i="8"/>
  <c r="J27" i="8"/>
  <c r="M26" i="8"/>
  <c r="N26" i="8" s="1"/>
  <c r="O26" i="8" s="1"/>
  <c r="R26" i="8" s="1"/>
  <c r="L26" i="8"/>
  <c r="K26" i="8"/>
  <c r="J26" i="8"/>
  <c r="M25" i="8"/>
  <c r="N25" i="8" s="1"/>
  <c r="O25" i="8" s="1"/>
  <c r="R25" i="8" s="1"/>
  <c r="L25" i="8"/>
  <c r="K25" i="8"/>
  <c r="J25" i="8"/>
  <c r="M24" i="8"/>
  <c r="L24" i="8"/>
  <c r="K24" i="8"/>
  <c r="N24" i="8" s="1"/>
  <c r="O24" i="8" s="1"/>
  <c r="R24" i="8" s="1"/>
  <c r="J24" i="8"/>
  <c r="M23" i="8"/>
  <c r="L23" i="8"/>
  <c r="K23" i="8"/>
  <c r="J23" i="8"/>
  <c r="N23" i="8" s="1"/>
  <c r="O23" i="8" s="1"/>
  <c r="R23" i="8" s="1"/>
  <c r="M22" i="8"/>
  <c r="L22" i="8"/>
  <c r="K22" i="8"/>
  <c r="J22" i="8"/>
  <c r="N22" i="8" s="1"/>
  <c r="O22" i="8" s="1"/>
  <c r="R22" i="8" s="1"/>
  <c r="M21" i="8"/>
  <c r="L21" i="8"/>
  <c r="K21" i="8"/>
  <c r="J21" i="8"/>
  <c r="N21" i="8" s="1"/>
  <c r="O21" i="8" s="1"/>
  <c r="R21" i="8" s="1"/>
  <c r="M20" i="8"/>
  <c r="L20" i="8"/>
  <c r="K20" i="8"/>
  <c r="J20" i="8"/>
  <c r="N20" i="8" s="1"/>
  <c r="O20" i="8" s="1"/>
  <c r="R20" i="8" s="1"/>
  <c r="N19" i="8"/>
  <c r="O19" i="8" s="1"/>
  <c r="R19" i="8" s="1"/>
  <c r="M19" i="8"/>
  <c r="L19" i="8"/>
  <c r="K19" i="8"/>
  <c r="J19" i="8"/>
  <c r="M18" i="8"/>
  <c r="N18" i="8" s="1"/>
  <c r="O18" i="8" s="1"/>
  <c r="R18" i="8" s="1"/>
  <c r="L18" i="8"/>
  <c r="K18" i="8"/>
  <c r="J18" i="8"/>
  <c r="M17" i="8"/>
  <c r="N17" i="8" s="1"/>
  <c r="O17" i="8" s="1"/>
  <c r="R17" i="8" s="1"/>
  <c r="L17" i="8"/>
  <c r="K17" i="8"/>
  <c r="J17" i="8"/>
  <c r="M16" i="8"/>
  <c r="L16" i="8"/>
  <c r="K16" i="8"/>
  <c r="N16" i="8" s="1"/>
  <c r="O16" i="8" s="1"/>
  <c r="R16" i="8" s="1"/>
  <c r="J16" i="8"/>
  <c r="M15" i="8"/>
  <c r="L15" i="8"/>
  <c r="K15" i="8"/>
  <c r="J15" i="8"/>
  <c r="N15" i="8" s="1"/>
  <c r="O15" i="8" s="1"/>
  <c r="R15" i="8" s="1"/>
  <c r="M14" i="8"/>
  <c r="L14" i="8"/>
  <c r="K14" i="8"/>
  <c r="J14" i="8"/>
  <c r="N14" i="8" s="1"/>
  <c r="O14" i="8" s="1"/>
  <c r="R14" i="8" s="1"/>
  <c r="M13" i="8"/>
  <c r="L13" i="8"/>
  <c r="K13" i="8"/>
  <c r="J13" i="8"/>
  <c r="N13" i="8" s="1"/>
  <c r="O13" i="8" s="1"/>
  <c r="R13" i="8" s="1"/>
  <c r="M12" i="8"/>
  <c r="L12" i="8"/>
  <c r="K12" i="8"/>
  <c r="J12" i="8"/>
  <c r="N12" i="8" s="1"/>
  <c r="O12" i="8" s="1"/>
  <c r="R12" i="8" s="1"/>
  <c r="N11" i="8"/>
  <c r="O11" i="8" s="1"/>
  <c r="R11" i="8" s="1"/>
  <c r="M11" i="8"/>
  <c r="L11" i="8"/>
  <c r="K11" i="8"/>
  <c r="J11" i="8"/>
  <c r="M10" i="8"/>
  <c r="N10" i="8" s="1"/>
  <c r="O10" i="8" s="1"/>
  <c r="R10" i="8" s="1"/>
  <c r="L10" i="8"/>
  <c r="K10" i="8"/>
  <c r="J10" i="8"/>
  <c r="M9" i="8"/>
  <c r="N9" i="8" s="1"/>
  <c r="O9" i="8" s="1"/>
  <c r="R9" i="8" s="1"/>
  <c r="L9" i="8"/>
  <c r="K9" i="8"/>
  <c r="J9" i="8"/>
  <c r="M8" i="8"/>
  <c r="L8" i="8"/>
  <c r="K8" i="8"/>
  <c r="J8" i="8"/>
  <c r="N8" i="8" s="1"/>
  <c r="O8" i="8" s="1"/>
  <c r="R8" i="8" s="1"/>
  <c r="M7" i="8"/>
  <c r="L7" i="8"/>
  <c r="K7" i="8"/>
  <c r="J7" i="8"/>
  <c r="N7" i="8" s="1"/>
  <c r="O7" i="8" s="1"/>
  <c r="R7" i="8" s="1"/>
  <c r="M6" i="8"/>
  <c r="L6" i="8"/>
  <c r="K6" i="8"/>
  <c r="J6" i="8"/>
  <c r="N6" i="8" s="1"/>
  <c r="O6" i="8" s="1"/>
  <c r="R6" i="8" s="1"/>
  <c r="M5" i="8"/>
  <c r="L5" i="8"/>
  <c r="K5" i="8"/>
  <c r="J5" i="8"/>
  <c r="N5" i="8" s="1"/>
  <c r="O5" i="8" s="1"/>
  <c r="R5" i="8" s="1"/>
  <c r="M4" i="8"/>
  <c r="L4" i="8"/>
  <c r="K4" i="8"/>
  <c r="J4" i="8"/>
  <c r="N4" i="8" s="1"/>
  <c r="O4" i="8" s="1"/>
  <c r="R4" i="8" s="1"/>
  <c r="N3" i="8"/>
  <c r="O3" i="8" s="1"/>
  <c r="R3" i="8" s="1"/>
  <c r="M3" i="8"/>
  <c r="L3" i="8"/>
  <c r="K3" i="8"/>
  <c r="J3" i="8"/>
  <c r="M2" i="8"/>
  <c r="N2" i="8" s="1"/>
  <c r="O2" i="8" s="1"/>
  <c r="R2" i="8" s="1"/>
  <c r="L2" i="8"/>
  <c r="K2" i="8"/>
  <c r="J2" i="8"/>
  <c r="F33" i="7"/>
  <c r="G33" i="7" s="1"/>
  <c r="I33" i="7" s="1"/>
  <c r="F32" i="7"/>
  <c r="G32" i="7" s="1"/>
  <c r="I32" i="7" s="1"/>
  <c r="F31" i="7"/>
  <c r="G31" i="7" s="1"/>
  <c r="I31" i="7" s="1"/>
  <c r="F30" i="7"/>
  <c r="G30" i="7" s="1"/>
  <c r="I30" i="7" s="1"/>
  <c r="G29" i="7"/>
  <c r="I29" i="7" s="1"/>
  <c r="F29" i="7"/>
  <c r="G28" i="7"/>
  <c r="I28" i="7" s="1"/>
  <c r="F28" i="7"/>
  <c r="G27" i="7"/>
  <c r="I27" i="7" s="1"/>
  <c r="F27" i="7"/>
  <c r="F26" i="7"/>
  <c r="G26" i="7" s="1"/>
  <c r="I26" i="7" s="1"/>
  <c r="F25" i="7"/>
  <c r="G25" i="7" s="1"/>
  <c r="I25" i="7" s="1"/>
  <c r="F24" i="7"/>
  <c r="G24" i="7" s="1"/>
  <c r="I24" i="7" s="1"/>
  <c r="F23" i="7"/>
  <c r="G23" i="7" s="1"/>
  <c r="I23" i="7" s="1"/>
  <c r="F22" i="7"/>
  <c r="G22" i="7" s="1"/>
  <c r="I22" i="7" s="1"/>
  <c r="G21" i="7"/>
  <c r="I21" i="7" s="1"/>
  <c r="F21" i="7"/>
  <c r="G20" i="7"/>
  <c r="I20" i="7" s="1"/>
  <c r="F20" i="7"/>
  <c r="G19" i="7"/>
  <c r="I19" i="7" s="1"/>
  <c r="F19" i="7"/>
  <c r="F18" i="7"/>
  <c r="G18" i="7" s="1"/>
  <c r="I18" i="7" s="1"/>
  <c r="F17" i="7"/>
  <c r="G17" i="7" s="1"/>
  <c r="I17" i="7" s="1"/>
  <c r="F16" i="7"/>
  <c r="G16" i="7" s="1"/>
  <c r="I16" i="7" s="1"/>
  <c r="F15" i="7"/>
  <c r="G15" i="7" s="1"/>
  <c r="I15" i="7" s="1"/>
  <c r="F14" i="7"/>
  <c r="G14" i="7" s="1"/>
  <c r="I14" i="7" s="1"/>
  <c r="G13" i="7"/>
  <c r="I13" i="7" s="1"/>
  <c r="F13" i="7"/>
  <c r="G12" i="7"/>
  <c r="I12" i="7" s="1"/>
  <c r="F12" i="7"/>
  <c r="G11" i="7"/>
  <c r="I11" i="7" s="1"/>
  <c r="F11" i="7"/>
  <c r="F10" i="7"/>
  <c r="G10" i="7" s="1"/>
  <c r="I10" i="7" s="1"/>
  <c r="F9" i="7"/>
  <c r="G9" i="7" s="1"/>
  <c r="I9" i="7" s="1"/>
  <c r="F8" i="7"/>
  <c r="G8" i="7" s="1"/>
  <c r="I8" i="7" s="1"/>
  <c r="F7" i="7"/>
  <c r="G7" i="7" s="1"/>
  <c r="I7" i="7" s="1"/>
  <c r="F6" i="7"/>
  <c r="G6" i="7" s="1"/>
  <c r="I6" i="7" s="1"/>
  <c r="G5" i="7"/>
  <c r="I5" i="7" s="1"/>
  <c r="F5" i="7"/>
  <c r="G4" i="7"/>
  <c r="I4" i="7" s="1"/>
  <c r="F4" i="7"/>
  <c r="G3" i="7"/>
  <c r="I3" i="7" s="1"/>
  <c r="F3" i="7"/>
  <c r="F2" i="7"/>
  <c r="G2" i="7" s="1"/>
  <c r="I2" i="7" s="1"/>
  <c r="I4" i="6"/>
  <c r="I32" i="6"/>
  <c r="I24" i="6"/>
  <c r="I22" i="6"/>
  <c r="I20" i="6"/>
  <c r="I18" i="6"/>
  <c r="I16" i="6"/>
  <c r="I8" i="6"/>
  <c r="I6" i="6"/>
  <c r="I2" i="6"/>
  <c r="H32" i="6"/>
  <c r="I31" i="6"/>
  <c r="H31" i="6"/>
  <c r="I30" i="6"/>
  <c r="H30" i="6"/>
  <c r="I29" i="6"/>
  <c r="H29" i="6"/>
  <c r="I28" i="6"/>
  <c r="H28" i="6"/>
  <c r="I27" i="6"/>
  <c r="H27" i="6"/>
  <c r="I26" i="6"/>
  <c r="H26" i="6"/>
  <c r="I25" i="6"/>
  <c r="H25" i="6"/>
  <c r="H24" i="6"/>
  <c r="I23" i="6"/>
  <c r="H23" i="6"/>
  <c r="H22" i="6"/>
  <c r="I21" i="6"/>
  <c r="H21" i="6"/>
  <c r="H20" i="6"/>
  <c r="I19" i="6"/>
  <c r="H19" i="6"/>
  <c r="H18" i="6"/>
  <c r="I17" i="6"/>
  <c r="H17" i="6"/>
  <c r="H16" i="6"/>
  <c r="I15" i="6"/>
  <c r="H15" i="6"/>
  <c r="I14" i="6"/>
  <c r="H14" i="6"/>
  <c r="I13" i="6"/>
  <c r="H13" i="6"/>
  <c r="I12" i="6"/>
  <c r="H12" i="6"/>
  <c r="I11" i="6"/>
  <c r="H11" i="6"/>
  <c r="I10" i="6"/>
  <c r="H10" i="6"/>
  <c r="I9" i="6"/>
  <c r="H9" i="6"/>
  <c r="H8" i="6"/>
  <c r="I7" i="6"/>
  <c r="H7" i="6"/>
  <c r="H6" i="6"/>
  <c r="I5" i="6"/>
  <c r="H5" i="6"/>
  <c r="H4" i="6"/>
  <c r="I3" i="6"/>
  <c r="H3" i="6"/>
  <c r="H2" i="6"/>
  <c r="I1" i="6"/>
  <c r="H1" i="6"/>
  <c r="L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1" i="4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1" i="4"/>
  <c r="I32" i="5"/>
  <c r="H32" i="5"/>
  <c r="I31" i="5"/>
  <c r="H31" i="5"/>
  <c r="I30" i="5"/>
  <c r="H30" i="5"/>
  <c r="I29" i="5"/>
  <c r="H29" i="5"/>
  <c r="I28" i="5"/>
  <c r="H28" i="5"/>
  <c r="I27" i="5"/>
  <c r="H27" i="5"/>
  <c r="I26" i="5"/>
  <c r="H26" i="5"/>
  <c r="I25" i="5"/>
  <c r="H25" i="5"/>
  <c r="I24" i="5"/>
  <c r="H24" i="5"/>
  <c r="I23" i="5"/>
  <c r="H23" i="5"/>
  <c r="I22" i="5"/>
  <c r="H22" i="5"/>
  <c r="I21" i="5"/>
  <c r="H21" i="5"/>
  <c r="I20" i="5"/>
  <c r="H20" i="5"/>
  <c r="I19" i="5"/>
  <c r="H19" i="5"/>
  <c r="I18" i="5"/>
  <c r="H18" i="5"/>
  <c r="I17" i="5"/>
  <c r="H17" i="5"/>
  <c r="I16" i="5"/>
  <c r="H16" i="5"/>
  <c r="I15" i="5"/>
  <c r="H15" i="5"/>
  <c r="I14" i="5"/>
  <c r="H14" i="5"/>
  <c r="I13" i="5"/>
  <c r="H13" i="5"/>
  <c r="I12" i="5"/>
  <c r="H12" i="5"/>
  <c r="I11" i="5"/>
  <c r="H11" i="5"/>
  <c r="I10" i="5"/>
  <c r="H10" i="5"/>
  <c r="I9" i="5"/>
  <c r="H9" i="5"/>
  <c r="I8" i="5"/>
  <c r="H8" i="5"/>
  <c r="I7" i="5"/>
  <c r="H7" i="5"/>
  <c r="I6" i="5"/>
  <c r="H6" i="5"/>
  <c r="I5" i="5"/>
  <c r="H5" i="5"/>
  <c r="I4" i="5"/>
  <c r="H4" i="5"/>
  <c r="I3" i="5"/>
  <c r="H3" i="5"/>
  <c r="I2" i="5"/>
  <c r="H2" i="5"/>
  <c r="I1" i="5"/>
  <c r="H1" i="5"/>
  <c r="I32" i="4"/>
  <c r="H32" i="4"/>
  <c r="I31" i="4"/>
  <c r="H31" i="4"/>
  <c r="I30" i="4"/>
  <c r="H30" i="4"/>
  <c r="I29" i="4"/>
  <c r="H29" i="4"/>
  <c r="I28" i="4"/>
  <c r="H28" i="4"/>
  <c r="I27" i="4"/>
  <c r="H27" i="4"/>
  <c r="I26" i="4"/>
  <c r="H26" i="4"/>
  <c r="I25" i="4"/>
  <c r="H25" i="4"/>
  <c r="I24" i="4"/>
  <c r="H24" i="4"/>
  <c r="I23" i="4"/>
  <c r="H23" i="4"/>
  <c r="I22" i="4"/>
  <c r="H22" i="4"/>
  <c r="I21" i="4"/>
  <c r="H21" i="4"/>
  <c r="I20" i="4"/>
  <c r="H20" i="4"/>
  <c r="I19" i="4"/>
  <c r="H19" i="4"/>
  <c r="I18" i="4"/>
  <c r="H18" i="4"/>
  <c r="I17" i="4"/>
  <c r="H17" i="4"/>
  <c r="I16" i="4"/>
  <c r="H16" i="4"/>
  <c r="I15" i="4"/>
  <c r="H15" i="4"/>
  <c r="I14" i="4"/>
  <c r="H14" i="4"/>
  <c r="I13" i="4"/>
  <c r="H13" i="4"/>
  <c r="I12" i="4"/>
  <c r="H12" i="4"/>
  <c r="I11" i="4"/>
  <c r="H11" i="4"/>
  <c r="I10" i="4"/>
  <c r="H10" i="4"/>
  <c r="I9" i="4"/>
  <c r="H9" i="4"/>
  <c r="I8" i="4"/>
  <c r="H8" i="4"/>
  <c r="I7" i="4"/>
  <c r="H7" i="4"/>
  <c r="I6" i="4"/>
  <c r="H6" i="4"/>
  <c r="I5" i="4"/>
  <c r="H5" i="4"/>
  <c r="I4" i="4"/>
  <c r="H4" i="4"/>
  <c r="I3" i="4"/>
  <c r="H3" i="4"/>
  <c r="I2" i="4"/>
  <c r="H2" i="4"/>
  <c r="I1" i="4"/>
  <c r="H1" i="4"/>
  <c r="I26" i="3"/>
  <c r="I24" i="3"/>
  <c r="I22" i="3"/>
  <c r="I20" i="3"/>
  <c r="I18" i="3"/>
  <c r="I10" i="3"/>
  <c r="I8" i="3"/>
  <c r="I6" i="3"/>
  <c r="I4" i="3"/>
  <c r="I2" i="3"/>
  <c r="I32" i="3"/>
  <c r="H32" i="3"/>
  <c r="I31" i="3"/>
  <c r="H31" i="3"/>
  <c r="I30" i="3"/>
  <c r="H30" i="3"/>
  <c r="I29" i="3"/>
  <c r="H29" i="3"/>
  <c r="I28" i="3"/>
  <c r="H28" i="3"/>
  <c r="I27" i="3"/>
  <c r="H27" i="3"/>
  <c r="H26" i="3"/>
  <c r="I25" i="3"/>
  <c r="H25" i="3"/>
  <c r="H24" i="3"/>
  <c r="I23" i="3"/>
  <c r="H23" i="3"/>
  <c r="H22" i="3"/>
  <c r="I21" i="3"/>
  <c r="H21" i="3"/>
  <c r="H20" i="3"/>
  <c r="I19" i="3"/>
  <c r="H19" i="3"/>
  <c r="H18" i="3"/>
  <c r="I17" i="3"/>
  <c r="H17" i="3"/>
  <c r="I16" i="3"/>
  <c r="H16" i="3"/>
  <c r="I15" i="3"/>
  <c r="H15" i="3"/>
  <c r="I14" i="3"/>
  <c r="H14" i="3"/>
  <c r="I13" i="3"/>
  <c r="H13" i="3"/>
  <c r="I12" i="3"/>
  <c r="H12" i="3"/>
  <c r="I11" i="3"/>
  <c r="H11" i="3"/>
  <c r="H10" i="3"/>
  <c r="I9" i="3"/>
  <c r="H9" i="3"/>
  <c r="H8" i="3"/>
  <c r="I7" i="3"/>
  <c r="H7" i="3"/>
  <c r="H6" i="3"/>
  <c r="I5" i="3"/>
  <c r="H5" i="3"/>
  <c r="H4" i="3"/>
  <c r="I3" i="3"/>
  <c r="H3" i="3"/>
  <c r="H2" i="3"/>
  <c r="I1" i="3"/>
  <c r="H1" i="3"/>
  <c r="I1" i="2"/>
  <c r="I27" i="2"/>
  <c r="I25" i="2"/>
  <c r="I23" i="2"/>
  <c r="I21" i="2"/>
  <c r="I19" i="2"/>
  <c r="I17" i="2"/>
  <c r="I11" i="2"/>
  <c r="I9" i="2"/>
  <c r="I7" i="2"/>
  <c r="I5" i="2"/>
  <c r="I3" i="2"/>
  <c r="I32" i="2"/>
  <c r="H32" i="2"/>
  <c r="I31" i="2"/>
  <c r="H31" i="2"/>
  <c r="I30" i="2"/>
  <c r="H30" i="2"/>
  <c r="I29" i="2"/>
  <c r="H29" i="2"/>
  <c r="I28" i="2"/>
  <c r="H28" i="2"/>
  <c r="H27" i="2"/>
  <c r="I26" i="2"/>
  <c r="H26" i="2"/>
  <c r="H25" i="2"/>
  <c r="I24" i="2"/>
  <c r="H24" i="2"/>
  <c r="H23" i="2"/>
  <c r="I22" i="2"/>
  <c r="H22" i="2"/>
  <c r="H21" i="2"/>
  <c r="I20" i="2"/>
  <c r="H20" i="2"/>
  <c r="H19" i="2"/>
  <c r="I18" i="2"/>
  <c r="H18" i="2"/>
  <c r="H17" i="2"/>
  <c r="I16" i="2"/>
  <c r="H16" i="2"/>
  <c r="I15" i="2"/>
  <c r="H15" i="2"/>
  <c r="I14" i="2"/>
  <c r="H14" i="2"/>
  <c r="I13" i="2"/>
  <c r="H13" i="2"/>
  <c r="I12" i="2"/>
  <c r="H12" i="2"/>
  <c r="H11" i="2"/>
  <c r="I10" i="2"/>
  <c r="H10" i="2"/>
  <c r="H9" i="2"/>
  <c r="I8" i="2"/>
  <c r="H8" i="2"/>
  <c r="H7" i="2"/>
  <c r="I6" i="2"/>
  <c r="H6" i="2"/>
  <c r="H5" i="2"/>
  <c r="I4" i="2"/>
  <c r="H4" i="2"/>
  <c r="H3" i="2"/>
  <c r="I2" i="2"/>
  <c r="H2" i="2"/>
  <c r="H1" i="2"/>
</calcChain>
</file>

<file path=xl/sharedStrings.xml><?xml version="1.0" encoding="utf-8"?>
<sst xmlns="http://schemas.openxmlformats.org/spreadsheetml/2006/main" count="8" uniqueCount="4">
  <si>
    <t>Pb</t>
    <phoneticPr fontId="1" type="noConversion"/>
  </si>
  <si>
    <t>Ti</t>
    <phoneticPr fontId="1" type="noConversion"/>
  </si>
  <si>
    <t>O2</t>
    <phoneticPr fontId="1" type="noConversion"/>
  </si>
  <si>
    <t>O1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</si>
</sst>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opLeftCell="A118" workbookViewId="0">
      <selection activeCell="A129" sqref="A129:C160"/>
    </sheetView>
  </sheetViews>
  <sheetFormatPr defaultRowHeight="14" x14ac:dyDescent="0.3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05E19-5BCB-41C9-B5EA-0B27976C8778}">
  <dimension ref="A1:I32"/>
  <sheetViews>
    <sheetView topLeftCell="A8" zoomScale="85" zoomScaleNormal="85" workbookViewId="0">
      <selection activeCell="I1" sqref="I1:I32"/>
    </sheetView>
  </sheetViews>
  <sheetFormatPr defaultRowHeight="14" x14ac:dyDescent="0.3"/>
  <sheetData>
    <row r="1" spans="1:9" x14ac:dyDescent="0.3">
      <c r="A1">
        <v>1.2E-4</v>
      </c>
      <c r="B1">
        <v>4.3699999999999998E-3</v>
      </c>
      <c r="C1">
        <v>0</v>
      </c>
      <c r="E1">
        <v>1.2E-4</v>
      </c>
      <c r="F1">
        <v>0</v>
      </c>
      <c r="G1">
        <v>0</v>
      </c>
      <c r="H1">
        <f>A1-E1</f>
        <v>0</v>
      </c>
      <c r="I1">
        <f>B1-F1</f>
        <v>4.3699999999999998E-3</v>
      </c>
    </row>
    <row r="2" spans="1:9" x14ac:dyDescent="0.3">
      <c r="A2">
        <v>3.1369999000000003E-2</v>
      </c>
      <c r="B2">
        <v>0.51355999699999999</v>
      </c>
      <c r="C2">
        <v>0</v>
      </c>
      <c r="E2">
        <v>3.1369999000000003E-2</v>
      </c>
      <c r="F2">
        <v>0.5</v>
      </c>
      <c r="G2">
        <v>0</v>
      </c>
      <c r="H2">
        <f t="shared" ref="H2:I32" si="0">A2-E2</f>
        <v>0</v>
      </c>
      <c r="I2">
        <f t="shared" si="0"/>
        <v>1.355999699999999E-2</v>
      </c>
    </row>
    <row r="3" spans="1:9" x14ac:dyDescent="0.3">
      <c r="A3">
        <v>6.2619998999999996E-2</v>
      </c>
      <c r="B3">
        <v>1.8180000000000002E-2</v>
      </c>
      <c r="C3">
        <v>0</v>
      </c>
      <c r="E3">
        <v>6.2619998999999996E-2</v>
      </c>
      <c r="F3">
        <v>0</v>
      </c>
      <c r="G3">
        <v>0</v>
      </c>
      <c r="H3">
        <f t="shared" si="0"/>
        <v>0</v>
      </c>
      <c r="I3">
        <f>B3-F3</f>
        <v>1.8180000000000002E-2</v>
      </c>
    </row>
    <row r="4" spans="1:9" x14ac:dyDescent="0.3">
      <c r="A4">
        <v>9.3869998999999996E-2</v>
      </c>
      <c r="B4">
        <v>0.51666998900000005</v>
      </c>
      <c r="C4">
        <v>0</v>
      </c>
      <c r="E4">
        <v>9.3869998999999996E-2</v>
      </c>
      <c r="F4">
        <v>0.5</v>
      </c>
      <c r="G4">
        <v>0</v>
      </c>
      <c r="H4">
        <f t="shared" si="0"/>
        <v>0</v>
      </c>
      <c r="I4">
        <f t="shared" si="0"/>
        <v>1.6669989000000052E-2</v>
      </c>
    </row>
    <row r="5" spans="1:9" x14ac:dyDescent="0.3">
      <c r="A5">
        <v>0.12511999900000001</v>
      </c>
      <c r="B5">
        <v>9.5399999999999999E-3</v>
      </c>
      <c r="C5">
        <v>0</v>
      </c>
      <c r="E5">
        <v>0.12511999900000001</v>
      </c>
      <c r="F5">
        <v>0</v>
      </c>
      <c r="G5">
        <v>0</v>
      </c>
      <c r="H5">
        <f t="shared" si="0"/>
        <v>0</v>
      </c>
      <c r="I5">
        <f>B5-F5</f>
        <v>9.5399999999999999E-3</v>
      </c>
    </row>
    <row r="6" spans="1:9" x14ac:dyDescent="0.3">
      <c r="A6">
        <v>0.15636999900000001</v>
      </c>
      <c r="B6">
        <v>0.49919998599999998</v>
      </c>
      <c r="C6">
        <v>0</v>
      </c>
      <c r="E6">
        <v>0.15636999900000001</v>
      </c>
      <c r="F6">
        <v>0.5</v>
      </c>
      <c r="G6">
        <v>0</v>
      </c>
      <c r="H6">
        <f t="shared" si="0"/>
        <v>0</v>
      </c>
      <c r="I6">
        <f t="shared" si="0"/>
        <v>-8.0001400000001555E-4</v>
      </c>
    </row>
    <row r="7" spans="1:9" x14ac:dyDescent="0.3">
      <c r="A7">
        <v>0.18761999900000001</v>
      </c>
      <c r="B7">
        <v>0.98912000700000002</v>
      </c>
      <c r="C7">
        <v>0</v>
      </c>
      <c r="E7">
        <v>0.18761999900000001</v>
      </c>
      <c r="F7">
        <v>0</v>
      </c>
      <c r="G7">
        <v>0</v>
      </c>
      <c r="H7">
        <f t="shared" si="0"/>
        <v>0</v>
      </c>
      <c r="I7">
        <f>B7-F7-1</f>
        <v>-1.0879992999999977E-2</v>
      </c>
    </row>
    <row r="8" spans="1:9" x14ac:dyDescent="0.3">
      <c r="A8">
        <v>0.21886999900000001</v>
      </c>
      <c r="B8">
        <v>0.48271998799999999</v>
      </c>
      <c r="C8">
        <v>0</v>
      </c>
      <c r="E8">
        <v>0.21886999900000001</v>
      </c>
      <c r="F8">
        <v>0.5</v>
      </c>
      <c r="G8">
        <v>0</v>
      </c>
      <c r="H8">
        <f t="shared" si="0"/>
        <v>0</v>
      </c>
      <c r="I8">
        <f t="shared" si="0"/>
        <v>-1.7280012000000011E-2</v>
      </c>
    </row>
    <row r="9" spans="1:9" x14ac:dyDescent="0.3">
      <c r="A9">
        <v>0.250120014</v>
      </c>
      <c r="B9">
        <v>0.98212999099999998</v>
      </c>
      <c r="C9">
        <v>0</v>
      </c>
      <c r="E9">
        <v>0.250120014</v>
      </c>
      <c r="F9">
        <v>0</v>
      </c>
      <c r="G9">
        <v>0</v>
      </c>
      <c r="H9">
        <f t="shared" si="0"/>
        <v>0</v>
      </c>
      <c r="I9">
        <f>B9-F9-1</f>
        <v>-1.787000900000002E-2</v>
      </c>
    </row>
    <row r="10" spans="1:9" x14ac:dyDescent="0.3">
      <c r="A10">
        <v>0.281370014</v>
      </c>
      <c r="B10">
        <v>0.48756998800000001</v>
      </c>
      <c r="C10">
        <v>0</v>
      </c>
      <c r="E10">
        <v>0.281370014</v>
      </c>
      <c r="F10">
        <v>0.5</v>
      </c>
      <c r="G10">
        <v>0</v>
      </c>
      <c r="H10">
        <f t="shared" si="0"/>
        <v>0</v>
      </c>
      <c r="I10">
        <f t="shared" si="0"/>
        <v>-1.243001199999999E-2</v>
      </c>
    </row>
    <row r="11" spans="1:9" x14ac:dyDescent="0.3">
      <c r="A11">
        <v>0.312620014</v>
      </c>
      <c r="B11">
        <v>0.99720001199999997</v>
      </c>
      <c r="C11">
        <v>0</v>
      </c>
      <c r="E11">
        <v>0.312620014</v>
      </c>
      <c r="F11">
        <v>0</v>
      </c>
      <c r="G11">
        <v>0</v>
      </c>
      <c r="H11">
        <f t="shared" si="0"/>
        <v>0</v>
      </c>
      <c r="I11">
        <f>B11-F11-1</f>
        <v>-2.799988000000031E-3</v>
      </c>
    </row>
    <row r="12" spans="1:9" x14ac:dyDescent="0.3">
      <c r="A12">
        <v>0.343870014</v>
      </c>
      <c r="B12">
        <v>0.507770002</v>
      </c>
      <c r="C12">
        <v>0</v>
      </c>
      <c r="E12">
        <v>0.343870014</v>
      </c>
      <c r="F12">
        <v>0.5</v>
      </c>
      <c r="G12">
        <v>0</v>
      </c>
      <c r="H12">
        <f t="shared" si="0"/>
        <v>0</v>
      </c>
      <c r="I12">
        <f t="shared" si="0"/>
        <v>7.7700019999999981E-3</v>
      </c>
    </row>
    <row r="13" spans="1:9" x14ac:dyDescent="0.3">
      <c r="A13">
        <v>0.375120014</v>
      </c>
      <c r="B13">
        <v>1.5720000000000001E-2</v>
      </c>
      <c r="C13">
        <v>0</v>
      </c>
      <c r="E13">
        <v>0.375120014</v>
      </c>
      <c r="F13">
        <v>0</v>
      </c>
      <c r="G13">
        <v>0</v>
      </c>
      <c r="H13">
        <f t="shared" si="0"/>
        <v>0</v>
      </c>
      <c r="I13">
        <f t="shared" si="0"/>
        <v>1.5720000000000001E-2</v>
      </c>
    </row>
    <row r="14" spans="1:9" x14ac:dyDescent="0.3">
      <c r="A14">
        <v>0.406370014</v>
      </c>
      <c r="B14">
        <v>0.51837998600000001</v>
      </c>
      <c r="C14">
        <v>0</v>
      </c>
      <c r="E14">
        <v>0.406370014</v>
      </c>
      <c r="F14">
        <v>0.5</v>
      </c>
      <c r="G14">
        <v>0</v>
      </c>
      <c r="H14">
        <f t="shared" si="0"/>
        <v>0</v>
      </c>
      <c r="I14">
        <f t="shared" si="0"/>
        <v>1.8379986000000015E-2</v>
      </c>
    </row>
    <row r="15" spans="1:9" x14ac:dyDescent="0.3">
      <c r="A15">
        <v>0.437620014</v>
      </c>
      <c r="B15">
        <v>1.4829999999999999E-2</v>
      </c>
      <c r="C15">
        <v>0</v>
      </c>
      <c r="E15">
        <v>0.437620014</v>
      </c>
      <c r="F15">
        <v>0</v>
      </c>
      <c r="G15">
        <v>0</v>
      </c>
      <c r="H15">
        <f t="shared" si="0"/>
        <v>0</v>
      </c>
      <c r="I15">
        <f t="shared" si="0"/>
        <v>1.4829999999999999E-2</v>
      </c>
    </row>
    <row r="16" spans="1:9" x14ac:dyDescent="0.3">
      <c r="A16">
        <v>0.468870014</v>
      </c>
      <c r="B16">
        <v>0.50628995899999996</v>
      </c>
      <c r="C16">
        <v>0</v>
      </c>
      <c r="E16">
        <v>0.468870014</v>
      </c>
      <c r="F16">
        <v>0.5</v>
      </c>
      <c r="G16">
        <v>0</v>
      </c>
      <c r="H16">
        <f t="shared" si="0"/>
        <v>0</v>
      </c>
      <c r="I16">
        <f t="shared" si="0"/>
        <v>6.2899589999999561E-3</v>
      </c>
    </row>
    <row r="17" spans="1:9" x14ac:dyDescent="0.3">
      <c r="A17">
        <v>0.50011998400000002</v>
      </c>
      <c r="B17">
        <v>0.99563002599999995</v>
      </c>
      <c r="C17">
        <v>0</v>
      </c>
      <c r="E17">
        <v>0.50011998400000002</v>
      </c>
      <c r="F17">
        <v>0</v>
      </c>
      <c r="G17">
        <v>0</v>
      </c>
      <c r="H17">
        <f t="shared" si="0"/>
        <v>0</v>
      </c>
      <c r="I17">
        <f>B17-F17-1</f>
        <v>-4.3699740000000542E-3</v>
      </c>
    </row>
    <row r="18" spans="1:9" x14ac:dyDescent="0.3">
      <c r="A18">
        <v>0.53136998400000002</v>
      </c>
      <c r="B18">
        <v>0.48644000300000001</v>
      </c>
      <c r="C18">
        <v>0</v>
      </c>
      <c r="E18">
        <v>0.53136998400000002</v>
      </c>
      <c r="F18">
        <v>0.5</v>
      </c>
      <c r="G18">
        <v>0</v>
      </c>
      <c r="H18">
        <f t="shared" si="0"/>
        <v>0</v>
      </c>
      <c r="I18">
        <f t="shared" si="0"/>
        <v>-1.355999699999999E-2</v>
      </c>
    </row>
    <row r="19" spans="1:9" x14ac:dyDescent="0.3">
      <c r="A19">
        <v>0.56261998400000002</v>
      </c>
      <c r="B19">
        <v>0.98181998699999995</v>
      </c>
      <c r="C19">
        <v>0</v>
      </c>
      <c r="E19">
        <v>0.56261998400000002</v>
      </c>
      <c r="F19">
        <v>0</v>
      </c>
      <c r="G19">
        <v>0</v>
      </c>
      <c r="H19">
        <f t="shared" si="0"/>
        <v>0</v>
      </c>
      <c r="I19">
        <f>B19-F19-1</f>
        <v>-1.818001300000005E-2</v>
      </c>
    </row>
    <row r="20" spans="1:9" x14ac:dyDescent="0.3">
      <c r="A20">
        <v>0.59386998400000002</v>
      </c>
      <c r="B20">
        <v>0.483330011</v>
      </c>
      <c r="C20">
        <v>0</v>
      </c>
      <c r="E20">
        <v>0.59386998400000002</v>
      </c>
      <c r="F20">
        <v>0.5</v>
      </c>
      <c r="G20">
        <v>0</v>
      </c>
      <c r="H20">
        <f t="shared" si="0"/>
        <v>0</v>
      </c>
      <c r="I20">
        <f t="shared" si="0"/>
        <v>-1.6669988999999996E-2</v>
      </c>
    </row>
    <row r="21" spans="1:9" x14ac:dyDescent="0.3">
      <c r="A21">
        <v>0.62511998400000002</v>
      </c>
      <c r="B21">
        <v>0.99045997900000005</v>
      </c>
      <c r="C21">
        <v>0</v>
      </c>
      <c r="E21">
        <v>0.62511998400000002</v>
      </c>
      <c r="F21">
        <v>0</v>
      </c>
      <c r="G21">
        <v>0</v>
      </c>
      <c r="H21">
        <f t="shared" si="0"/>
        <v>0</v>
      </c>
      <c r="I21">
        <f>B21-F21-1</f>
        <v>-9.5400209999999541E-3</v>
      </c>
    </row>
    <row r="22" spans="1:9" x14ac:dyDescent="0.3">
      <c r="A22">
        <v>0.65636998400000002</v>
      </c>
      <c r="B22">
        <v>0.50080001399999996</v>
      </c>
      <c r="C22">
        <v>0</v>
      </c>
      <c r="E22">
        <v>0.65636998400000002</v>
      </c>
      <c r="F22">
        <v>0.5</v>
      </c>
      <c r="G22">
        <v>0</v>
      </c>
      <c r="H22">
        <f t="shared" si="0"/>
        <v>0</v>
      </c>
      <c r="I22">
        <f t="shared" si="0"/>
        <v>8.0001399999996003E-4</v>
      </c>
    </row>
    <row r="23" spans="1:9" x14ac:dyDescent="0.3">
      <c r="A23">
        <v>0.68761998400000002</v>
      </c>
      <c r="B23">
        <v>1.0880000000000001E-2</v>
      </c>
      <c r="C23">
        <v>0</v>
      </c>
      <c r="E23">
        <v>0.68761998400000002</v>
      </c>
      <c r="F23">
        <v>0</v>
      </c>
      <c r="G23">
        <v>0</v>
      </c>
      <c r="H23">
        <f t="shared" si="0"/>
        <v>0</v>
      </c>
      <c r="I23">
        <f>B23-F23</f>
        <v>1.0880000000000001E-2</v>
      </c>
    </row>
    <row r="24" spans="1:9" x14ac:dyDescent="0.3">
      <c r="A24">
        <v>0.71886998400000002</v>
      </c>
      <c r="B24">
        <v>0.517279983</v>
      </c>
      <c r="C24">
        <v>0</v>
      </c>
      <c r="E24">
        <v>0.71886998400000002</v>
      </c>
      <c r="F24">
        <v>0.5</v>
      </c>
      <c r="G24">
        <v>0</v>
      </c>
      <c r="H24">
        <f t="shared" si="0"/>
        <v>0</v>
      </c>
      <c r="I24">
        <f t="shared" si="0"/>
        <v>1.7279982999999999E-2</v>
      </c>
    </row>
    <row r="25" spans="1:9" x14ac:dyDescent="0.3">
      <c r="A25">
        <v>0.75012004399999999</v>
      </c>
      <c r="B25">
        <v>1.787E-2</v>
      </c>
      <c r="C25">
        <v>0</v>
      </c>
      <c r="E25">
        <v>0.75012004399999999</v>
      </c>
      <c r="F25">
        <v>0</v>
      </c>
      <c r="G25">
        <v>0</v>
      </c>
      <c r="H25">
        <f t="shared" si="0"/>
        <v>0</v>
      </c>
      <c r="I25">
        <f>B25-F25</f>
        <v>1.787E-2</v>
      </c>
    </row>
    <row r="26" spans="1:9" x14ac:dyDescent="0.3">
      <c r="A26">
        <v>0.78137004399999999</v>
      </c>
      <c r="B26">
        <v>0.51243001200000005</v>
      </c>
      <c r="C26">
        <v>0</v>
      </c>
      <c r="E26">
        <v>0.78137004399999999</v>
      </c>
      <c r="F26">
        <v>0.5</v>
      </c>
      <c r="G26">
        <v>0</v>
      </c>
      <c r="H26">
        <f t="shared" si="0"/>
        <v>0</v>
      </c>
      <c r="I26">
        <f t="shared" si="0"/>
        <v>1.2430012000000046E-2</v>
      </c>
    </row>
    <row r="27" spans="1:9" x14ac:dyDescent="0.3">
      <c r="A27">
        <v>0.81262004399999999</v>
      </c>
      <c r="B27">
        <v>2.8E-3</v>
      </c>
      <c r="C27">
        <v>0</v>
      </c>
      <c r="E27">
        <v>0.81262004399999999</v>
      </c>
      <c r="F27">
        <v>0</v>
      </c>
      <c r="G27">
        <v>0</v>
      </c>
      <c r="H27">
        <f t="shared" si="0"/>
        <v>0</v>
      </c>
      <c r="I27">
        <f>B27-F27</f>
        <v>2.8E-3</v>
      </c>
    </row>
    <row r="28" spans="1:9" x14ac:dyDescent="0.3">
      <c r="A28">
        <v>0.84387004399999999</v>
      </c>
      <c r="B28">
        <v>0.492229998</v>
      </c>
      <c r="C28">
        <v>0</v>
      </c>
      <c r="E28">
        <v>0.84387004399999999</v>
      </c>
      <c r="F28">
        <v>0.5</v>
      </c>
      <c r="G28">
        <v>0</v>
      </c>
      <c r="H28">
        <f t="shared" si="0"/>
        <v>0</v>
      </c>
      <c r="I28">
        <f t="shared" si="0"/>
        <v>-7.7700019999999981E-3</v>
      </c>
    </row>
    <row r="29" spans="1:9" x14ac:dyDescent="0.3">
      <c r="A29">
        <v>0.87512004399999999</v>
      </c>
      <c r="B29">
        <v>0.98427998999999999</v>
      </c>
      <c r="C29">
        <v>0</v>
      </c>
      <c r="E29">
        <v>0.87512004399999999</v>
      </c>
      <c r="F29">
        <v>0</v>
      </c>
      <c r="G29">
        <v>0</v>
      </c>
      <c r="H29">
        <f t="shared" si="0"/>
        <v>0</v>
      </c>
      <c r="I29">
        <f>B29-F29-1</f>
        <v>-1.5720010000000006E-2</v>
      </c>
    </row>
    <row r="30" spans="1:9" x14ac:dyDescent="0.3">
      <c r="A30">
        <v>0.90637004399999999</v>
      </c>
      <c r="B30">
        <v>0.48162001399999999</v>
      </c>
      <c r="C30">
        <v>0</v>
      </c>
      <c r="E30">
        <v>0.90637004399999999</v>
      </c>
      <c r="F30">
        <v>0.5</v>
      </c>
      <c r="G30">
        <v>0</v>
      </c>
      <c r="H30">
        <f t="shared" si="0"/>
        <v>0</v>
      </c>
      <c r="I30">
        <f t="shared" si="0"/>
        <v>-1.8379986000000015E-2</v>
      </c>
    </row>
    <row r="31" spans="1:9" x14ac:dyDescent="0.3">
      <c r="A31">
        <v>0.93762004399999999</v>
      </c>
      <c r="B31">
        <v>0.98517000700000001</v>
      </c>
      <c r="C31">
        <v>0</v>
      </c>
      <c r="E31">
        <v>0.93762004399999999</v>
      </c>
      <c r="F31">
        <v>0</v>
      </c>
      <c r="G31">
        <v>0</v>
      </c>
      <c r="H31">
        <f t="shared" si="0"/>
        <v>0</v>
      </c>
      <c r="I31">
        <f>B31-F31-1</f>
        <v>-1.4829992999999986E-2</v>
      </c>
    </row>
    <row r="32" spans="1:9" x14ac:dyDescent="0.3">
      <c r="A32">
        <v>0.96886998400000002</v>
      </c>
      <c r="B32">
        <v>0.493710011</v>
      </c>
      <c r="C32">
        <v>0</v>
      </c>
      <c r="E32">
        <v>0.96886998400000002</v>
      </c>
      <c r="F32">
        <v>0.5</v>
      </c>
      <c r="G32">
        <v>0</v>
      </c>
      <c r="H32">
        <f t="shared" si="0"/>
        <v>0</v>
      </c>
      <c r="I32">
        <f t="shared" si="0"/>
        <v>-6.2899889999999958E-3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C800F-5871-46EF-8F9B-B0B5132F8353}">
  <dimension ref="A1:I32"/>
  <sheetViews>
    <sheetView topLeftCell="A12" workbookViewId="0">
      <selection activeCell="I1" sqref="I1:I32"/>
    </sheetView>
  </sheetViews>
  <sheetFormatPr defaultRowHeight="14" x14ac:dyDescent="0.3"/>
  <sheetData>
    <row r="1" spans="1:9" x14ac:dyDescent="0.3">
      <c r="A1">
        <v>1.2E-4</v>
      </c>
      <c r="B1">
        <v>0.50700002899999996</v>
      </c>
      <c r="C1">
        <v>0.5</v>
      </c>
      <c r="E1">
        <v>1.2E-4</v>
      </c>
      <c r="F1">
        <v>0.5</v>
      </c>
      <c r="G1">
        <v>0.5</v>
      </c>
      <c r="H1">
        <f>A1-E1</f>
        <v>0</v>
      </c>
      <c r="I1">
        <f>B1-F1</f>
        <v>7.0000289999999632E-3</v>
      </c>
    </row>
    <row r="2" spans="1:9" x14ac:dyDescent="0.3">
      <c r="A2">
        <v>3.1369999000000003E-2</v>
      </c>
      <c r="B2">
        <v>1.23E-2</v>
      </c>
      <c r="C2">
        <v>0.5</v>
      </c>
      <c r="E2">
        <v>3.1369999000000003E-2</v>
      </c>
      <c r="F2">
        <v>0</v>
      </c>
      <c r="G2">
        <v>0.5</v>
      </c>
      <c r="H2">
        <f t="shared" ref="H2:I32" si="0">A2-E2</f>
        <v>0</v>
      </c>
      <c r="I2">
        <f>B2-F2</f>
        <v>1.23E-2</v>
      </c>
    </row>
    <row r="3" spans="1:9" x14ac:dyDescent="0.3">
      <c r="A3">
        <v>6.2619998999999996E-2</v>
      </c>
      <c r="B3">
        <v>0.51345998000000004</v>
      </c>
      <c r="C3">
        <v>0.5</v>
      </c>
      <c r="E3">
        <v>6.2619998999999996E-2</v>
      </c>
      <c r="F3">
        <v>0.5</v>
      </c>
      <c r="G3">
        <v>0.5</v>
      </c>
      <c r="H3">
        <f t="shared" si="0"/>
        <v>0</v>
      </c>
      <c r="I3">
        <f t="shared" si="0"/>
        <v>1.3459980000000038E-2</v>
      </c>
    </row>
    <row r="4" spans="1:9" x14ac:dyDescent="0.3">
      <c r="A4">
        <v>9.3869998999999996E-2</v>
      </c>
      <c r="B4">
        <v>1.008E-2</v>
      </c>
      <c r="C4">
        <v>0.5</v>
      </c>
      <c r="E4">
        <v>9.3869998999999996E-2</v>
      </c>
      <c r="F4">
        <v>0</v>
      </c>
      <c r="G4">
        <v>0.5</v>
      </c>
      <c r="H4">
        <f t="shared" si="0"/>
        <v>0</v>
      </c>
      <c r="I4">
        <f>B4-F4</f>
        <v>1.008E-2</v>
      </c>
    </row>
    <row r="5" spans="1:9" x14ac:dyDescent="0.3">
      <c r="A5">
        <v>0.12511999900000001</v>
      </c>
      <c r="B5">
        <v>0.50330001099999999</v>
      </c>
      <c r="C5">
        <v>0.5</v>
      </c>
      <c r="E5">
        <v>0.12511999900000001</v>
      </c>
      <c r="F5">
        <v>0.5</v>
      </c>
      <c r="G5">
        <v>0.5</v>
      </c>
      <c r="H5">
        <f t="shared" si="0"/>
        <v>0</v>
      </c>
      <c r="I5">
        <f t="shared" si="0"/>
        <v>3.3000109999999916E-3</v>
      </c>
    </row>
    <row r="6" spans="1:9" x14ac:dyDescent="0.3">
      <c r="A6">
        <v>0.15636999900000001</v>
      </c>
      <c r="B6">
        <v>0.99541002499999998</v>
      </c>
      <c r="C6">
        <v>0.5</v>
      </c>
      <c r="E6">
        <v>0.15636999900000001</v>
      </c>
      <c r="F6">
        <v>0</v>
      </c>
      <c r="G6">
        <v>0.5</v>
      </c>
      <c r="H6">
        <f t="shared" si="0"/>
        <v>0</v>
      </c>
      <c r="I6">
        <f>B6-F6-1</f>
        <v>-4.5899750000000239E-3</v>
      </c>
    </row>
    <row r="7" spans="1:9" x14ac:dyDescent="0.3">
      <c r="A7">
        <v>0.18761999900000001</v>
      </c>
      <c r="B7">
        <v>0.48906999800000001</v>
      </c>
      <c r="C7">
        <v>0.5</v>
      </c>
      <c r="E7">
        <v>0.18761999900000001</v>
      </c>
      <c r="F7">
        <v>0.5</v>
      </c>
      <c r="G7">
        <v>0.5</v>
      </c>
      <c r="H7">
        <f t="shared" si="0"/>
        <v>0</v>
      </c>
      <c r="I7">
        <f t="shared" si="0"/>
        <v>-1.0930001999999994E-2</v>
      </c>
    </row>
    <row r="8" spans="1:9" x14ac:dyDescent="0.3">
      <c r="A8">
        <v>0.21886999900000001</v>
      </c>
      <c r="B8">
        <v>0.98641002200000005</v>
      </c>
      <c r="C8">
        <v>0.5</v>
      </c>
      <c r="E8">
        <v>0.21886999900000001</v>
      </c>
      <c r="F8">
        <v>0</v>
      </c>
      <c r="G8">
        <v>0.5</v>
      </c>
      <c r="H8">
        <f t="shared" si="0"/>
        <v>0</v>
      </c>
      <c r="I8">
        <f>B8-F8-1</f>
        <v>-1.3589977999999947E-2</v>
      </c>
    </row>
    <row r="9" spans="1:9" x14ac:dyDescent="0.3">
      <c r="A9">
        <v>0.250120014</v>
      </c>
      <c r="B9">
        <v>0.48833000700000001</v>
      </c>
      <c r="C9">
        <v>0.5</v>
      </c>
      <c r="E9">
        <v>0.250120014</v>
      </c>
      <c r="F9">
        <v>0.5</v>
      </c>
      <c r="G9">
        <v>0.5</v>
      </c>
      <c r="H9">
        <f t="shared" si="0"/>
        <v>0</v>
      </c>
      <c r="I9">
        <f t="shared" si="0"/>
        <v>-1.166999299999999E-2</v>
      </c>
    </row>
    <row r="10" spans="1:9" x14ac:dyDescent="0.3">
      <c r="A10">
        <v>0.281370014</v>
      </c>
      <c r="B10">
        <v>0.99418997799999997</v>
      </c>
      <c r="C10">
        <v>0.5</v>
      </c>
      <c r="E10">
        <v>0.281370014</v>
      </c>
      <c r="F10">
        <v>0</v>
      </c>
      <c r="G10">
        <v>0.5</v>
      </c>
      <c r="H10">
        <f t="shared" si="0"/>
        <v>0</v>
      </c>
      <c r="I10">
        <f>B10-F10-1</f>
        <v>-5.8100220000000258E-3</v>
      </c>
    </row>
    <row r="11" spans="1:9" x14ac:dyDescent="0.3">
      <c r="A11">
        <v>0.312620014</v>
      </c>
      <c r="B11">
        <v>0.50199997399999996</v>
      </c>
      <c r="C11">
        <v>0.5</v>
      </c>
      <c r="E11">
        <v>0.312620014</v>
      </c>
      <c r="F11">
        <v>0.5</v>
      </c>
      <c r="G11">
        <v>0.5</v>
      </c>
      <c r="H11">
        <f t="shared" si="0"/>
        <v>0</v>
      </c>
      <c r="I11">
        <f t="shared" si="0"/>
        <v>1.99997399999996E-3</v>
      </c>
    </row>
    <row r="12" spans="1:9" x14ac:dyDescent="0.3">
      <c r="A12">
        <v>0.343870014</v>
      </c>
      <c r="B12">
        <v>9.1400000000000006E-3</v>
      </c>
      <c r="C12">
        <v>0.5</v>
      </c>
      <c r="E12">
        <v>0.343870014</v>
      </c>
      <c r="F12">
        <v>0</v>
      </c>
      <c r="G12">
        <v>0.5</v>
      </c>
      <c r="H12">
        <f t="shared" si="0"/>
        <v>0</v>
      </c>
      <c r="I12">
        <f t="shared" si="0"/>
        <v>9.1400000000000006E-3</v>
      </c>
    </row>
    <row r="13" spans="1:9" x14ac:dyDescent="0.3">
      <c r="A13">
        <v>0.375120014</v>
      </c>
      <c r="B13">
        <v>0.51319998499999997</v>
      </c>
      <c r="C13">
        <v>0.5</v>
      </c>
      <c r="E13">
        <v>0.375120014</v>
      </c>
      <c r="F13">
        <v>0.5</v>
      </c>
      <c r="G13">
        <v>0.5</v>
      </c>
      <c r="H13">
        <f t="shared" si="0"/>
        <v>0</v>
      </c>
      <c r="I13">
        <f t="shared" si="0"/>
        <v>1.319998499999997E-2</v>
      </c>
    </row>
    <row r="14" spans="1:9" x14ac:dyDescent="0.3">
      <c r="A14">
        <v>0.406370014</v>
      </c>
      <c r="B14">
        <v>1.281E-2</v>
      </c>
      <c r="C14">
        <v>0.5</v>
      </c>
      <c r="E14">
        <v>0.406370014</v>
      </c>
      <c r="F14">
        <v>0</v>
      </c>
      <c r="G14">
        <v>0.5</v>
      </c>
      <c r="H14">
        <f t="shared" si="0"/>
        <v>0</v>
      </c>
      <c r="I14">
        <f t="shared" si="0"/>
        <v>1.281E-2</v>
      </c>
    </row>
    <row r="15" spans="1:9" x14ac:dyDescent="0.3">
      <c r="A15">
        <v>0.437620014</v>
      </c>
      <c r="B15">
        <v>0.50809997299999998</v>
      </c>
      <c r="C15">
        <v>0.5</v>
      </c>
      <c r="E15">
        <v>0.437620014</v>
      </c>
      <c r="F15">
        <v>0.5</v>
      </c>
      <c r="G15">
        <v>0.5</v>
      </c>
      <c r="H15">
        <f t="shared" si="0"/>
        <v>0</v>
      </c>
      <c r="I15">
        <f t="shared" si="0"/>
        <v>8.0999729999999825E-3</v>
      </c>
    </row>
    <row r="16" spans="1:9" x14ac:dyDescent="0.3">
      <c r="A16">
        <v>0.468870014</v>
      </c>
      <c r="B16">
        <v>6.6E-4</v>
      </c>
      <c r="C16">
        <v>0.5</v>
      </c>
      <c r="E16">
        <v>0.468870014</v>
      </c>
      <c r="F16">
        <v>0</v>
      </c>
      <c r="G16">
        <v>0.5</v>
      </c>
      <c r="H16">
        <f t="shared" si="0"/>
        <v>0</v>
      </c>
      <c r="I16">
        <f t="shared" si="0"/>
        <v>6.6E-4</v>
      </c>
    </row>
    <row r="17" spans="1:9" x14ac:dyDescent="0.3">
      <c r="A17">
        <v>0.50011998400000002</v>
      </c>
      <c r="B17">
        <v>0.49299997099999998</v>
      </c>
      <c r="C17">
        <v>0.5</v>
      </c>
      <c r="E17">
        <v>0.50011998400000002</v>
      </c>
      <c r="F17">
        <v>0.5</v>
      </c>
      <c r="G17">
        <v>0.5</v>
      </c>
      <c r="H17">
        <f t="shared" si="0"/>
        <v>0</v>
      </c>
      <c r="I17">
        <f t="shared" si="0"/>
        <v>-7.0000290000000187E-3</v>
      </c>
    </row>
    <row r="18" spans="1:9" x14ac:dyDescent="0.3">
      <c r="A18">
        <v>0.53136998400000002</v>
      </c>
      <c r="B18">
        <v>0.98769998599999997</v>
      </c>
      <c r="C18">
        <v>0.5</v>
      </c>
      <c r="E18">
        <v>0.53136998400000002</v>
      </c>
      <c r="F18">
        <v>0</v>
      </c>
      <c r="G18">
        <v>0.5</v>
      </c>
      <c r="H18">
        <f t="shared" si="0"/>
        <v>0</v>
      </c>
      <c r="I18">
        <f>B18-F18-1</f>
        <v>-1.2300014000000026E-2</v>
      </c>
    </row>
    <row r="19" spans="1:9" x14ac:dyDescent="0.3">
      <c r="A19">
        <v>0.56261998400000002</v>
      </c>
      <c r="B19">
        <v>0.48654002000000002</v>
      </c>
      <c r="C19">
        <v>0.5</v>
      </c>
      <c r="E19">
        <v>0.56261998400000002</v>
      </c>
      <c r="F19">
        <v>0.5</v>
      </c>
      <c r="G19">
        <v>0.5</v>
      </c>
      <c r="H19">
        <f t="shared" si="0"/>
        <v>0</v>
      </c>
      <c r="I19">
        <f t="shared" si="0"/>
        <v>-1.3459979999999983E-2</v>
      </c>
    </row>
    <row r="20" spans="1:9" x14ac:dyDescent="0.3">
      <c r="A20">
        <v>0.59386998400000002</v>
      </c>
      <c r="B20">
        <v>0.98992002000000001</v>
      </c>
      <c r="C20">
        <v>0.5</v>
      </c>
      <c r="E20">
        <v>0.59386998400000002</v>
      </c>
      <c r="F20">
        <v>0</v>
      </c>
      <c r="G20">
        <v>0.5</v>
      </c>
      <c r="H20">
        <f t="shared" si="0"/>
        <v>0</v>
      </c>
      <c r="I20">
        <f>B20-F20-1</f>
        <v>-1.0079979999999988E-2</v>
      </c>
    </row>
    <row r="21" spans="1:9" x14ac:dyDescent="0.3">
      <c r="A21">
        <v>0.62511998400000002</v>
      </c>
      <c r="B21">
        <v>0.49669998900000001</v>
      </c>
      <c r="C21">
        <v>0.5</v>
      </c>
      <c r="E21">
        <v>0.62511998400000002</v>
      </c>
      <c r="F21">
        <v>0.5</v>
      </c>
      <c r="G21">
        <v>0.5</v>
      </c>
      <c r="H21">
        <f t="shared" si="0"/>
        <v>0</v>
      </c>
      <c r="I21">
        <f t="shared" si="0"/>
        <v>-3.3000109999999916E-3</v>
      </c>
    </row>
    <row r="22" spans="1:9" x14ac:dyDescent="0.3">
      <c r="A22">
        <v>0.65636998400000002</v>
      </c>
      <c r="B22">
        <v>4.5900000000000003E-3</v>
      </c>
      <c r="C22">
        <v>0.5</v>
      </c>
      <c r="E22">
        <v>0.65636998400000002</v>
      </c>
      <c r="F22">
        <v>0</v>
      </c>
      <c r="G22">
        <v>0.5</v>
      </c>
      <c r="H22">
        <f t="shared" si="0"/>
        <v>0</v>
      </c>
      <c r="I22">
        <f>B22-F22</f>
        <v>4.5900000000000003E-3</v>
      </c>
    </row>
    <row r="23" spans="1:9" x14ac:dyDescent="0.3">
      <c r="A23">
        <v>0.68761998400000002</v>
      </c>
      <c r="B23">
        <v>0.51093000200000005</v>
      </c>
      <c r="C23">
        <v>0.5</v>
      </c>
      <c r="E23">
        <v>0.68761998400000002</v>
      </c>
      <c r="F23">
        <v>0.5</v>
      </c>
      <c r="G23">
        <v>0.5</v>
      </c>
      <c r="H23">
        <f t="shared" si="0"/>
        <v>0</v>
      </c>
      <c r="I23">
        <f t="shared" si="0"/>
        <v>1.093000200000005E-2</v>
      </c>
    </row>
    <row r="24" spans="1:9" x14ac:dyDescent="0.3">
      <c r="A24">
        <v>0.71886998400000002</v>
      </c>
      <c r="B24">
        <v>1.359E-2</v>
      </c>
      <c r="C24">
        <v>0.5</v>
      </c>
      <c r="E24">
        <v>0.71886998400000002</v>
      </c>
      <c r="F24">
        <v>0</v>
      </c>
      <c r="G24">
        <v>0.5</v>
      </c>
      <c r="H24">
        <f t="shared" si="0"/>
        <v>0</v>
      </c>
      <c r="I24">
        <f>B24-F24</f>
        <v>1.359E-2</v>
      </c>
    </row>
    <row r="25" spans="1:9" x14ac:dyDescent="0.3">
      <c r="A25">
        <v>0.75012004399999999</v>
      </c>
      <c r="B25">
        <v>0.51166999300000005</v>
      </c>
      <c r="C25">
        <v>0.5</v>
      </c>
      <c r="E25">
        <v>0.75012004399999999</v>
      </c>
      <c r="F25">
        <v>0.5</v>
      </c>
      <c r="G25">
        <v>0.5</v>
      </c>
      <c r="H25">
        <f t="shared" si="0"/>
        <v>0</v>
      </c>
      <c r="I25">
        <f t="shared" si="0"/>
        <v>1.1669993000000045E-2</v>
      </c>
    </row>
    <row r="26" spans="1:9" x14ac:dyDescent="0.3">
      <c r="A26">
        <v>0.78137004399999999</v>
      </c>
      <c r="B26">
        <v>5.8100000000000001E-3</v>
      </c>
      <c r="C26">
        <v>0.5</v>
      </c>
      <c r="E26">
        <v>0.78137004399999999</v>
      </c>
      <c r="F26">
        <v>0</v>
      </c>
      <c r="G26">
        <v>0.5</v>
      </c>
      <c r="H26">
        <f t="shared" si="0"/>
        <v>0</v>
      </c>
      <c r="I26">
        <f>B26-F26</f>
        <v>5.8100000000000001E-3</v>
      </c>
    </row>
    <row r="27" spans="1:9" x14ac:dyDescent="0.3">
      <c r="A27">
        <v>0.81262004399999999</v>
      </c>
      <c r="B27">
        <v>0.49800002599999998</v>
      </c>
      <c r="C27">
        <v>0.5</v>
      </c>
      <c r="E27">
        <v>0.81262004399999999</v>
      </c>
      <c r="F27">
        <v>0.5</v>
      </c>
      <c r="G27">
        <v>0.5</v>
      </c>
      <c r="H27">
        <f t="shared" si="0"/>
        <v>0</v>
      </c>
      <c r="I27">
        <f t="shared" si="0"/>
        <v>-1.9999740000000155E-3</v>
      </c>
    </row>
    <row r="28" spans="1:9" x14ac:dyDescent="0.3">
      <c r="A28">
        <v>0.84387004399999999</v>
      </c>
      <c r="B28">
        <v>0.99085998500000005</v>
      </c>
      <c r="C28">
        <v>0.5</v>
      </c>
      <c r="E28">
        <v>0.84387004399999999</v>
      </c>
      <c r="F28">
        <v>0</v>
      </c>
      <c r="G28">
        <v>0.5</v>
      </c>
      <c r="H28">
        <f t="shared" si="0"/>
        <v>0</v>
      </c>
      <c r="I28">
        <f>B28-F28-1</f>
        <v>-9.1400149999999458E-3</v>
      </c>
    </row>
    <row r="29" spans="1:9" x14ac:dyDescent="0.3">
      <c r="A29">
        <v>0.87512004399999999</v>
      </c>
      <c r="B29">
        <v>0.48680001499999997</v>
      </c>
      <c r="C29">
        <v>0.5</v>
      </c>
      <c r="E29">
        <v>0.87512004399999999</v>
      </c>
      <c r="F29">
        <v>0.5</v>
      </c>
      <c r="G29">
        <v>0.5</v>
      </c>
      <c r="H29">
        <f t="shared" si="0"/>
        <v>0</v>
      </c>
      <c r="I29">
        <f t="shared" si="0"/>
        <v>-1.3199985000000025E-2</v>
      </c>
    </row>
    <row r="30" spans="1:9" x14ac:dyDescent="0.3">
      <c r="A30">
        <v>0.90637004399999999</v>
      </c>
      <c r="B30">
        <v>0.98719000800000001</v>
      </c>
      <c r="C30">
        <v>0.5</v>
      </c>
      <c r="E30">
        <v>0.90637004399999999</v>
      </c>
      <c r="F30">
        <v>0</v>
      </c>
      <c r="G30">
        <v>0.5</v>
      </c>
      <c r="H30">
        <f t="shared" si="0"/>
        <v>0</v>
      </c>
      <c r="I30">
        <f>B30-F30-1</f>
        <v>-1.2809991999999992E-2</v>
      </c>
    </row>
    <row r="31" spans="1:9" x14ac:dyDescent="0.3">
      <c r="A31">
        <v>0.93762004399999999</v>
      </c>
      <c r="B31">
        <v>0.49190002700000002</v>
      </c>
      <c r="C31">
        <v>0.5</v>
      </c>
      <c r="E31">
        <v>0.93762004399999999</v>
      </c>
      <c r="F31">
        <v>0.5</v>
      </c>
      <c r="G31">
        <v>0.5</v>
      </c>
      <c r="H31">
        <f t="shared" si="0"/>
        <v>0</v>
      </c>
      <c r="I31">
        <f t="shared" si="0"/>
        <v>-8.0999729999999825E-3</v>
      </c>
    </row>
    <row r="32" spans="1:9" x14ac:dyDescent="0.3">
      <c r="A32">
        <v>0.96887004399999999</v>
      </c>
      <c r="B32">
        <v>0.99933999799999995</v>
      </c>
      <c r="C32">
        <v>0.5</v>
      </c>
      <c r="E32">
        <v>0.96887004399999999</v>
      </c>
      <c r="F32">
        <v>0</v>
      </c>
      <c r="G32">
        <v>0.5</v>
      </c>
      <c r="H32">
        <f t="shared" si="0"/>
        <v>0</v>
      </c>
      <c r="I32">
        <f>B32-F32-1</f>
        <v>-6.6000200000004838E-4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BA579-38B7-4AB2-A270-9B0E6377C49B}">
  <dimension ref="A1:L32"/>
  <sheetViews>
    <sheetView topLeftCell="A12" workbookViewId="0">
      <selection activeCell="L1" sqref="L1:L32"/>
    </sheetView>
  </sheetViews>
  <sheetFormatPr defaultRowHeight="14" x14ac:dyDescent="0.3"/>
  <sheetData>
    <row r="1" spans="1:12" x14ac:dyDescent="0.3">
      <c r="A1">
        <v>1.5730022999999999E-2</v>
      </c>
      <c r="B1">
        <v>0.26254999600000001</v>
      </c>
      <c r="C1">
        <v>0.5</v>
      </c>
      <c r="E1">
        <v>1.5739976999999999E-2</v>
      </c>
      <c r="F1">
        <v>0.25</v>
      </c>
      <c r="G1">
        <v>0.5</v>
      </c>
      <c r="H1">
        <f>A1-E1</f>
        <v>-9.9539999999995188E-6</v>
      </c>
      <c r="I1">
        <f>B1-F1</f>
        <v>1.2549996000000008E-2</v>
      </c>
      <c r="J1">
        <v>1.2549995999999952E-2</v>
      </c>
      <c r="K1">
        <f>SUM(I1:J1)</f>
        <v>2.509999199999996E-2</v>
      </c>
      <c r="L1">
        <f>K1/2</f>
        <v>1.254999599999998E-2</v>
      </c>
    </row>
    <row r="2" spans="1:12" x14ac:dyDescent="0.3">
      <c r="A2">
        <v>4.7049999000000002E-2</v>
      </c>
      <c r="B2">
        <v>0.25951001000000001</v>
      </c>
      <c r="C2">
        <v>0.5</v>
      </c>
      <c r="E2">
        <v>4.6989999999999997E-2</v>
      </c>
      <c r="F2">
        <v>0.25</v>
      </c>
      <c r="G2">
        <v>0.5</v>
      </c>
      <c r="H2">
        <f t="shared" ref="H2:I32" si="0">A2-E2</f>
        <v>5.9999000000005021E-5</v>
      </c>
      <c r="I2">
        <f t="shared" si="0"/>
        <v>9.5100100000000132E-3</v>
      </c>
      <c r="J2">
        <v>9.5099810000000007E-3</v>
      </c>
      <c r="K2">
        <f t="shared" ref="K2:K32" si="1">SUM(I2:J2)</f>
        <v>1.9019991000000014E-2</v>
      </c>
      <c r="L2">
        <f t="shared" ref="L2:L32" si="2">K2/2</f>
        <v>9.5099955000000069E-3</v>
      </c>
    </row>
    <row r="3" spans="1:12" x14ac:dyDescent="0.3">
      <c r="A3">
        <v>7.8159988E-2</v>
      </c>
      <c r="B3">
        <v>0.253250003</v>
      </c>
      <c r="C3">
        <v>0.5</v>
      </c>
      <c r="E3">
        <v>7.8239977000000002E-2</v>
      </c>
      <c r="F3">
        <v>0.25</v>
      </c>
      <c r="G3">
        <v>0.5</v>
      </c>
      <c r="H3">
        <f t="shared" si="0"/>
        <v>-7.998900000000253E-5</v>
      </c>
      <c r="I3">
        <f t="shared" si="0"/>
        <v>3.2500030000000013E-3</v>
      </c>
      <c r="J3">
        <v>3.2500030000000013E-3</v>
      </c>
      <c r="K3">
        <f t="shared" si="1"/>
        <v>6.5000060000000026E-3</v>
      </c>
      <c r="L3">
        <f t="shared" si="2"/>
        <v>3.2500030000000013E-3</v>
      </c>
    </row>
    <row r="4" spans="1:12" x14ac:dyDescent="0.3">
      <c r="A4">
        <v>0.109569997</v>
      </c>
      <c r="B4">
        <v>0.24591000399999999</v>
      </c>
      <c r="C4">
        <v>0.5</v>
      </c>
      <c r="E4">
        <v>0.10949</v>
      </c>
      <c r="F4">
        <v>0.25</v>
      </c>
      <c r="G4">
        <v>0.5</v>
      </c>
      <c r="H4">
        <f t="shared" si="0"/>
        <v>7.9996999999998319E-5</v>
      </c>
      <c r="I4">
        <f t="shared" si="0"/>
        <v>-4.0899960000000124E-3</v>
      </c>
      <c r="J4">
        <v>-4.090010999999949E-3</v>
      </c>
      <c r="K4">
        <f t="shared" si="1"/>
        <v>-8.1800069999999614E-3</v>
      </c>
      <c r="L4">
        <f t="shared" si="2"/>
        <v>-4.0900034999999807E-3</v>
      </c>
    </row>
    <row r="5" spans="1:12" x14ac:dyDescent="0.3">
      <c r="A5">
        <v>0.14069002899999999</v>
      </c>
      <c r="B5">
        <v>0.23993998799999999</v>
      </c>
      <c r="C5">
        <v>0.5</v>
      </c>
      <c r="E5">
        <v>0.14073997699999999</v>
      </c>
      <c r="F5">
        <v>0.25</v>
      </c>
      <c r="G5">
        <v>0.5</v>
      </c>
      <c r="H5">
        <f t="shared" si="0"/>
        <v>-4.9947999999994108E-5</v>
      </c>
      <c r="I5">
        <f t="shared" si="0"/>
        <v>-1.0060012000000007E-2</v>
      </c>
      <c r="J5">
        <v>-1.0060011999999952E-2</v>
      </c>
      <c r="K5">
        <f t="shared" si="1"/>
        <v>-2.0120023999999959E-2</v>
      </c>
      <c r="L5">
        <f t="shared" si="2"/>
        <v>-1.0060011999999979E-2</v>
      </c>
    </row>
    <row r="6" spans="1:12" x14ac:dyDescent="0.3">
      <c r="A6">
        <v>0.17200000600000001</v>
      </c>
      <c r="B6">
        <v>0.23736000099999999</v>
      </c>
      <c r="C6">
        <v>0.5</v>
      </c>
      <c r="E6">
        <v>0.171990007</v>
      </c>
      <c r="F6">
        <v>0.25</v>
      </c>
      <c r="G6">
        <v>0.5</v>
      </c>
      <c r="H6">
        <f t="shared" si="0"/>
        <v>9.9990000000105272E-6</v>
      </c>
      <c r="I6">
        <f t="shared" si="0"/>
        <v>-1.2639999000000013E-2</v>
      </c>
      <c r="J6">
        <v>-1.2639999000000013E-2</v>
      </c>
      <c r="K6">
        <f t="shared" si="1"/>
        <v>-2.5279998000000026E-2</v>
      </c>
      <c r="L6">
        <f t="shared" si="2"/>
        <v>-1.2639999000000013E-2</v>
      </c>
    </row>
    <row r="7" spans="1:12" x14ac:dyDescent="0.3">
      <c r="A7">
        <v>0.203279972</v>
      </c>
      <c r="B7">
        <v>0.239049971</v>
      </c>
      <c r="C7">
        <v>0.5</v>
      </c>
      <c r="E7">
        <v>0.20323997699999999</v>
      </c>
      <c r="F7">
        <v>0.25</v>
      </c>
      <c r="G7">
        <v>0.5</v>
      </c>
      <c r="H7">
        <f t="shared" si="0"/>
        <v>3.999500000001488E-5</v>
      </c>
      <c r="I7">
        <f t="shared" si="0"/>
        <v>-1.0950029E-2</v>
      </c>
      <c r="J7">
        <v>-1.0950028999999972E-2</v>
      </c>
      <c r="K7">
        <f t="shared" si="1"/>
        <v>-2.1900057999999972E-2</v>
      </c>
      <c r="L7">
        <f t="shared" si="2"/>
        <v>-1.0950028999999986E-2</v>
      </c>
    </row>
    <row r="8" spans="1:12" x14ac:dyDescent="0.3">
      <c r="A8">
        <v>0.23442000199999999</v>
      </c>
      <c r="B8">
        <v>0.24442000699999999</v>
      </c>
      <c r="C8">
        <v>0.5</v>
      </c>
      <c r="E8">
        <v>0.234490007</v>
      </c>
      <c r="F8">
        <v>0.25</v>
      </c>
      <c r="G8">
        <v>0.5</v>
      </c>
      <c r="H8">
        <f t="shared" si="0"/>
        <v>-7.0005000000011863E-5</v>
      </c>
      <c r="I8">
        <f t="shared" si="0"/>
        <v>-5.5799930000000053E-3</v>
      </c>
      <c r="J8">
        <v>-5.5800080000000252E-3</v>
      </c>
      <c r="K8">
        <f t="shared" si="1"/>
        <v>-1.116000100000003E-2</v>
      </c>
      <c r="L8">
        <f t="shared" si="2"/>
        <v>-5.5800005000000152E-3</v>
      </c>
    </row>
    <row r="9" spans="1:12" x14ac:dyDescent="0.3">
      <c r="A9">
        <v>0.26582002599999999</v>
      </c>
      <c r="B9">
        <v>0.25168001699999998</v>
      </c>
      <c r="C9">
        <v>0.5</v>
      </c>
      <c r="E9">
        <v>0.26573997700000002</v>
      </c>
      <c r="F9">
        <v>0.25</v>
      </c>
      <c r="G9">
        <v>0.5</v>
      </c>
      <c r="H9">
        <f t="shared" si="0"/>
        <v>8.0048999999970949E-5</v>
      </c>
      <c r="I9">
        <f t="shared" si="0"/>
        <v>1.6800169999999781E-3</v>
      </c>
      <c r="J9">
        <v>1.6800169999999781E-3</v>
      </c>
      <c r="K9">
        <f t="shared" si="1"/>
        <v>3.3600339999999562E-3</v>
      </c>
      <c r="L9">
        <f t="shared" si="2"/>
        <v>1.6800169999999781E-3</v>
      </c>
    </row>
    <row r="10" spans="1:12" x14ac:dyDescent="0.3">
      <c r="A10">
        <v>0.29692998500000001</v>
      </c>
      <c r="B10">
        <v>0.25837001199999998</v>
      </c>
      <c r="C10">
        <v>0.5</v>
      </c>
      <c r="E10">
        <v>0.296990007</v>
      </c>
      <c r="F10">
        <v>0.25</v>
      </c>
      <c r="G10">
        <v>0.5</v>
      </c>
      <c r="H10">
        <f t="shared" si="0"/>
        <v>-6.0021999999992914E-5</v>
      </c>
      <c r="I10">
        <f t="shared" si="0"/>
        <v>8.3700119999999822E-3</v>
      </c>
      <c r="J10">
        <v>8.3699820000000535E-3</v>
      </c>
      <c r="K10">
        <f t="shared" si="1"/>
        <v>1.6739994000000036E-2</v>
      </c>
      <c r="L10">
        <f t="shared" si="2"/>
        <v>8.3699970000000179E-3</v>
      </c>
    </row>
    <row r="11" spans="1:12" x14ac:dyDescent="0.3">
      <c r="A11">
        <v>0.32826000500000002</v>
      </c>
      <c r="B11">
        <v>0.262239993</v>
      </c>
      <c r="C11">
        <v>0.5</v>
      </c>
      <c r="E11">
        <v>0.32823997700000002</v>
      </c>
      <c r="F11">
        <v>0.25</v>
      </c>
      <c r="G11">
        <v>0.5</v>
      </c>
      <c r="H11">
        <f t="shared" si="0"/>
        <v>2.0028000000005264E-5</v>
      </c>
      <c r="I11">
        <f t="shared" si="0"/>
        <v>1.2239993000000005E-2</v>
      </c>
      <c r="J11">
        <v>1.2239993000000005E-2</v>
      </c>
      <c r="K11">
        <f t="shared" si="1"/>
        <v>2.4479986000000009E-2</v>
      </c>
      <c r="L11">
        <f t="shared" si="2"/>
        <v>1.2239993000000005E-2</v>
      </c>
    </row>
    <row r="12" spans="1:12" x14ac:dyDescent="0.3">
      <c r="A12">
        <v>0.35951998800000001</v>
      </c>
      <c r="B12">
        <v>0.26197999700000002</v>
      </c>
      <c r="C12">
        <v>0.5</v>
      </c>
      <c r="E12">
        <v>0.359490007</v>
      </c>
      <c r="F12">
        <v>0.25</v>
      </c>
      <c r="G12">
        <v>0.5</v>
      </c>
      <c r="H12">
        <f t="shared" si="0"/>
        <v>2.9981000000012248E-5</v>
      </c>
      <c r="I12">
        <f t="shared" si="0"/>
        <v>1.197999700000002E-2</v>
      </c>
      <c r="J12">
        <v>1.1979996999999964E-2</v>
      </c>
      <c r="K12">
        <f t="shared" si="1"/>
        <v>2.3959993999999984E-2</v>
      </c>
      <c r="L12">
        <f t="shared" si="2"/>
        <v>1.1979996999999992E-2</v>
      </c>
    </row>
    <row r="13" spans="1:12" x14ac:dyDescent="0.3">
      <c r="A13">
        <v>0.39068001499999999</v>
      </c>
      <c r="B13">
        <v>0.25769001200000002</v>
      </c>
      <c r="C13">
        <v>0.5</v>
      </c>
      <c r="E13">
        <v>0.39073997700000002</v>
      </c>
      <c r="F13">
        <v>0.25</v>
      </c>
      <c r="G13">
        <v>0.5</v>
      </c>
      <c r="H13">
        <f t="shared" si="0"/>
        <v>-5.9962000000024496E-5</v>
      </c>
      <c r="I13">
        <f t="shared" si="0"/>
        <v>7.6900120000000238E-3</v>
      </c>
      <c r="J13">
        <v>7.6900119999999683E-3</v>
      </c>
      <c r="K13">
        <f t="shared" si="1"/>
        <v>1.5380023999999992E-2</v>
      </c>
      <c r="L13">
        <f t="shared" si="2"/>
        <v>7.6900119999999961E-3</v>
      </c>
    </row>
    <row r="14" spans="1:12" x14ac:dyDescent="0.3">
      <c r="A14">
        <v>0.42206999699999997</v>
      </c>
      <c r="B14">
        <v>0.25080999700000001</v>
      </c>
      <c r="C14">
        <v>0.5</v>
      </c>
      <c r="E14">
        <v>0.421990007</v>
      </c>
      <c r="F14">
        <v>0.25</v>
      </c>
      <c r="G14">
        <v>0.5</v>
      </c>
      <c r="H14">
        <f t="shared" si="0"/>
        <v>7.9989999999974248E-5</v>
      </c>
      <c r="I14">
        <f t="shared" si="0"/>
        <v>8.0999700000000674E-4</v>
      </c>
      <c r="J14">
        <v>8.1002699999999095E-4</v>
      </c>
      <c r="K14">
        <f t="shared" si="1"/>
        <v>1.6200239999999977E-3</v>
      </c>
      <c r="L14">
        <f t="shared" si="2"/>
        <v>8.1001199999999884E-4</v>
      </c>
    </row>
    <row r="15" spans="1:12" x14ac:dyDescent="0.3">
      <c r="A15">
        <v>0.45317000200000002</v>
      </c>
      <c r="B15">
        <v>0.243650019</v>
      </c>
      <c r="C15">
        <v>0.5</v>
      </c>
      <c r="E15">
        <v>0.453240007</v>
      </c>
      <c r="F15">
        <v>0.25</v>
      </c>
      <c r="G15">
        <v>0.5</v>
      </c>
      <c r="H15">
        <f t="shared" si="0"/>
        <v>-7.0004999999984108E-5</v>
      </c>
      <c r="I15">
        <f t="shared" si="0"/>
        <v>-6.3499810000000045E-3</v>
      </c>
      <c r="J15">
        <v>-6.349980999999949E-3</v>
      </c>
      <c r="K15">
        <f t="shared" si="1"/>
        <v>-1.2699961999999954E-2</v>
      </c>
      <c r="L15">
        <f t="shared" si="2"/>
        <v>-6.3499809999999768E-3</v>
      </c>
    </row>
    <row r="16" spans="1:12" x14ac:dyDescent="0.3">
      <c r="A16">
        <v>0.48453000200000002</v>
      </c>
      <c r="B16">
        <v>0.23862999700000001</v>
      </c>
      <c r="C16">
        <v>0.5</v>
      </c>
      <c r="E16">
        <v>0.484490007</v>
      </c>
      <c r="F16">
        <v>0.25</v>
      </c>
      <c r="G16">
        <v>0.5</v>
      </c>
      <c r="H16">
        <f t="shared" si="0"/>
        <v>3.999500000001488E-5</v>
      </c>
      <c r="I16">
        <f t="shared" si="0"/>
        <v>-1.137000299999999E-2</v>
      </c>
      <c r="J16">
        <v>-1.1370003000000017E-2</v>
      </c>
      <c r="K16">
        <f t="shared" si="1"/>
        <v>-2.2740006000000007E-2</v>
      </c>
      <c r="L16">
        <f t="shared" si="2"/>
        <v>-1.1370003000000004E-2</v>
      </c>
    </row>
    <row r="17" spans="1:12" x14ac:dyDescent="0.3">
      <c r="A17">
        <v>0.51574999099999996</v>
      </c>
      <c r="B17">
        <v>0.23745000399999999</v>
      </c>
      <c r="C17">
        <v>0.5</v>
      </c>
      <c r="E17">
        <v>0.51573997699999996</v>
      </c>
      <c r="F17">
        <v>0.25</v>
      </c>
      <c r="G17">
        <v>0.5</v>
      </c>
      <c r="H17">
        <f t="shared" si="0"/>
        <v>1.0014000000002632E-5</v>
      </c>
      <c r="I17">
        <f t="shared" si="0"/>
        <v>-1.2549996000000008E-2</v>
      </c>
      <c r="J17">
        <v>-1.2549995999999952E-2</v>
      </c>
      <c r="K17">
        <f t="shared" si="1"/>
        <v>-2.509999199999996E-2</v>
      </c>
      <c r="L17">
        <f t="shared" si="2"/>
        <v>-1.254999599999998E-2</v>
      </c>
    </row>
    <row r="18" spans="1:12" x14ac:dyDescent="0.3">
      <c r="A18">
        <v>0.54694002900000005</v>
      </c>
      <c r="B18">
        <v>0.24049000400000001</v>
      </c>
      <c r="C18">
        <v>0.5</v>
      </c>
      <c r="E18">
        <v>0.54698997699999996</v>
      </c>
      <c r="F18">
        <v>0.25</v>
      </c>
      <c r="G18">
        <v>0.5</v>
      </c>
      <c r="H18">
        <f t="shared" si="0"/>
        <v>-4.9947999999910841E-5</v>
      </c>
      <c r="I18">
        <f t="shared" si="0"/>
        <v>-9.5099959999999928E-3</v>
      </c>
      <c r="J18">
        <v>-9.5100399999999974E-3</v>
      </c>
      <c r="K18">
        <f t="shared" si="1"/>
        <v>-1.902003599999999E-2</v>
      </c>
      <c r="L18">
        <f t="shared" si="2"/>
        <v>-9.5100179999999951E-3</v>
      </c>
    </row>
    <row r="19" spans="1:12" x14ac:dyDescent="0.3">
      <c r="A19">
        <v>0.57832002599999999</v>
      </c>
      <c r="B19">
        <v>0.246749997</v>
      </c>
      <c r="C19">
        <v>0.5</v>
      </c>
      <c r="E19">
        <v>0.57823997699999996</v>
      </c>
      <c r="F19">
        <v>0.25</v>
      </c>
      <c r="G19">
        <v>0.5</v>
      </c>
      <c r="H19">
        <f t="shared" si="0"/>
        <v>8.004900000002646E-5</v>
      </c>
      <c r="I19">
        <f t="shared" si="0"/>
        <v>-3.2500030000000013E-3</v>
      </c>
      <c r="J19">
        <v>-3.2500030000000013E-3</v>
      </c>
      <c r="K19">
        <f t="shared" si="1"/>
        <v>-6.5000060000000026E-3</v>
      </c>
      <c r="L19">
        <f t="shared" si="2"/>
        <v>-3.2500030000000013E-3</v>
      </c>
    </row>
    <row r="20" spans="1:12" x14ac:dyDescent="0.3">
      <c r="A20">
        <v>0.60942000200000002</v>
      </c>
      <c r="B20">
        <v>0.254090011</v>
      </c>
      <c r="C20">
        <v>0.5</v>
      </c>
      <c r="E20">
        <v>0.60948997699999996</v>
      </c>
      <c r="F20">
        <v>0.25</v>
      </c>
      <c r="G20">
        <v>0.5</v>
      </c>
      <c r="H20">
        <f t="shared" si="0"/>
        <v>-6.9974999999944387E-5</v>
      </c>
      <c r="I20">
        <f t="shared" si="0"/>
        <v>4.0900110000000045E-3</v>
      </c>
      <c r="J20">
        <v>4.090010999999949E-3</v>
      </c>
      <c r="K20">
        <f t="shared" si="1"/>
        <v>8.1800219999999535E-3</v>
      </c>
      <c r="L20">
        <f t="shared" si="2"/>
        <v>4.0900109999999767E-3</v>
      </c>
    </row>
    <row r="21" spans="1:12" x14ac:dyDescent="0.3">
      <c r="A21">
        <v>0.64078998600000003</v>
      </c>
      <c r="B21">
        <v>0.26006001200000001</v>
      </c>
      <c r="C21">
        <v>0.5</v>
      </c>
      <c r="E21">
        <v>0.64074003700000004</v>
      </c>
      <c r="F21">
        <v>0.25</v>
      </c>
      <c r="G21">
        <v>0.5</v>
      </c>
      <c r="H21">
        <f t="shared" si="0"/>
        <v>4.9948999999993582E-5</v>
      </c>
      <c r="I21">
        <f t="shared" si="0"/>
        <v>1.0060012000000007E-2</v>
      </c>
      <c r="J21">
        <v>1.0060011999999952E-2</v>
      </c>
      <c r="K21">
        <f t="shared" si="1"/>
        <v>2.0120023999999959E-2</v>
      </c>
      <c r="L21">
        <f t="shared" si="2"/>
        <v>1.0060011999999979E-2</v>
      </c>
    </row>
    <row r="22" spans="1:12" x14ac:dyDescent="0.3">
      <c r="A22">
        <v>0.67198997699999996</v>
      </c>
      <c r="B22">
        <v>0.26263999900000001</v>
      </c>
      <c r="C22">
        <v>0.5</v>
      </c>
      <c r="E22">
        <v>0.67198997699999996</v>
      </c>
      <c r="F22">
        <v>0.25</v>
      </c>
      <c r="G22">
        <v>0.5</v>
      </c>
      <c r="H22">
        <f t="shared" si="0"/>
        <v>0</v>
      </c>
      <c r="I22">
        <f t="shared" si="0"/>
        <v>1.2639999000000013E-2</v>
      </c>
      <c r="J22">
        <v>1.2639999000000013E-2</v>
      </c>
      <c r="K22">
        <f t="shared" si="1"/>
        <v>2.5279998000000026E-2</v>
      </c>
      <c r="L22">
        <f t="shared" si="2"/>
        <v>1.2639999000000013E-2</v>
      </c>
    </row>
    <row r="23" spans="1:12" x14ac:dyDescent="0.3">
      <c r="A23">
        <v>0.70319998299999997</v>
      </c>
      <c r="B23">
        <v>0.26095002899999997</v>
      </c>
      <c r="C23">
        <v>0.5</v>
      </c>
      <c r="E23">
        <v>0.70324003700000004</v>
      </c>
      <c r="F23">
        <v>0.25</v>
      </c>
      <c r="G23">
        <v>0.5</v>
      </c>
      <c r="H23">
        <f t="shared" si="0"/>
        <v>-4.0054000000067091E-5</v>
      </c>
      <c r="I23">
        <f t="shared" si="0"/>
        <v>1.0950028999999972E-2</v>
      </c>
      <c r="J23">
        <v>1.0950028999999972E-2</v>
      </c>
      <c r="K23">
        <f t="shared" si="1"/>
        <v>2.1900057999999945E-2</v>
      </c>
      <c r="L23">
        <f t="shared" si="2"/>
        <v>1.0950028999999972E-2</v>
      </c>
    </row>
    <row r="24" spans="1:12" x14ac:dyDescent="0.3">
      <c r="A24">
        <v>0.73456001299999996</v>
      </c>
      <c r="B24">
        <v>0.25558000800000003</v>
      </c>
      <c r="C24">
        <v>0.5</v>
      </c>
      <c r="E24">
        <v>0.73448997699999996</v>
      </c>
      <c r="F24">
        <v>0.25</v>
      </c>
      <c r="G24">
        <v>0.5</v>
      </c>
      <c r="H24">
        <f t="shared" si="0"/>
        <v>7.0035999999995546E-5</v>
      </c>
      <c r="I24">
        <f t="shared" si="0"/>
        <v>5.5800080000000252E-3</v>
      </c>
      <c r="J24">
        <v>5.5800080000000252E-3</v>
      </c>
      <c r="K24">
        <f t="shared" si="1"/>
        <v>1.116001600000005E-2</v>
      </c>
      <c r="L24">
        <f t="shared" si="2"/>
        <v>5.5800080000000252E-3</v>
      </c>
    </row>
    <row r="25" spans="1:12" x14ac:dyDescent="0.3">
      <c r="A25">
        <v>0.76565998800000001</v>
      </c>
      <c r="B25">
        <v>0.24831998299999999</v>
      </c>
      <c r="C25">
        <v>0.5</v>
      </c>
      <c r="E25">
        <v>0.76574003700000004</v>
      </c>
      <c r="F25">
        <v>0.25</v>
      </c>
      <c r="G25">
        <v>0.5</v>
      </c>
      <c r="H25">
        <f t="shared" si="0"/>
        <v>-8.004900000002646E-5</v>
      </c>
      <c r="I25">
        <f t="shared" si="0"/>
        <v>-1.6800170000000059E-3</v>
      </c>
      <c r="J25">
        <v>-1.6800169999999781E-3</v>
      </c>
      <c r="K25">
        <f t="shared" si="1"/>
        <v>-3.360033999999984E-3</v>
      </c>
      <c r="L25">
        <f t="shared" si="2"/>
        <v>-1.680016999999992E-3</v>
      </c>
    </row>
    <row r="26" spans="1:12" x14ac:dyDescent="0.3">
      <c r="A26">
        <v>0.79704999899999995</v>
      </c>
      <c r="B26">
        <v>0.24163000300000001</v>
      </c>
      <c r="C26">
        <v>0.5</v>
      </c>
      <c r="E26">
        <v>0.79698997699999996</v>
      </c>
      <c r="F26">
        <v>0.25</v>
      </c>
      <c r="G26">
        <v>0.5</v>
      </c>
      <c r="H26">
        <f t="shared" si="0"/>
        <v>6.0021999999992914E-5</v>
      </c>
      <c r="I26">
        <f t="shared" si="0"/>
        <v>-8.3699969999999901E-3</v>
      </c>
      <c r="J26">
        <v>-8.370042000000022E-3</v>
      </c>
      <c r="K26">
        <f t="shared" si="1"/>
        <v>-1.6740039000000012E-2</v>
      </c>
      <c r="L26">
        <f t="shared" si="2"/>
        <v>-8.3700195000000061E-3</v>
      </c>
    </row>
    <row r="27" spans="1:12" x14ac:dyDescent="0.3">
      <c r="A27">
        <v>0.82822001000000001</v>
      </c>
      <c r="B27">
        <v>0.237760007</v>
      </c>
      <c r="C27">
        <v>0.5</v>
      </c>
      <c r="E27">
        <v>0.82824003700000004</v>
      </c>
      <c r="F27">
        <v>0.25</v>
      </c>
      <c r="G27">
        <v>0.5</v>
      </c>
      <c r="H27">
        <f t="shared" si="0"/>
        <v>-2.0027000000033546E-5</v>
      </c>
      <c r="I27">
        <f t="shared" si="0"/>
        <v>-1.2239993000000005E-2</v>
      </c>
      <c r="J27">
        <v>-1.2239993000000005E-2</v>
      </c>
      <c r="K27">
        <f t="shared" si="1"/>
        <v>-2.4479986000000009E-2</v>
      </c>
      <c r="L27">
        <f t="shared" si="2"/>
        <v>-1.2239993000000005E-2</v>
      </c>
    </row>
    <row r="28" spans="1:12" x14ac:dyDescent="0.3">
      <c r="A28">
        <v>0.85947001000000001</v>
      </c>
      <c r="B28">
        <v>0.23802000300000001</v>
      </c>
      <c r="C28">
        <v>0.5</v>
      </c>
      <c r="E28">
        <v>0.85948997699999996</v>
      </c>
      <c r="F28">
        <v>0.25</v>
      </c>
      <c r="G28">
        <v>0.5</v>
      </c>
      <c r="H28">
        <f t="shared" si="0"/>
        <v>-1.9966999999954105E-5</v>
      </c>
      <c r="I28">
        <f t="shared" si="0"/>
        <v>-1.1979996999999992E-2</v>
      </c>
      <c r="J28">
        <v>-1.1979996999999964E-2</v>
      </c>
      <c r="K28">
        <f t="shared" si="1"/>
        <v>-2.3959993999999957E-2</v>
      </c>
      <c r="L28">
        <f t="shared" si="2"/>
        <v>-1.1979996999999978E-2</v>
      </c>
    </row>
    <row r="29" spans="1:12" x14ac:dyDescent="0.3">
      <c r="A29">
        <v>0.89081001299999996</v>
      </c>
      <c r="B29">
        <v>0.242309988</v>
      </c>
      <c r="C29">
        <v>0.5</v>
      </c>
      <c r="E29">
        <v>0.89074003700000004</v>
      </c>
      <c r="F29">
        <v>0.25</v>
      </c>
      <c r="G29">
        <v>0.5</v>
      </c>
      <c r="H29">
        <f t="shared" si="0"/>
        <v>6.9975999999916105E-5</v>
      </c>
      <c r="I29">
        <f t="shared" si="0"/>
        <v>-7.6900119999999961E-3</v>
      </c>
      <c r="J29">
        <v>-7.6900119999999683E-3</v>
      </c>
      <c r="K29">
        <f t="shared" si="1"/>
        <v>-1.5380023999999964E-2</v>
      </c>
      <c r="L29">
        <f t="shared" si="2"/>
        <v>-7.6900119999999822E-3</v>
      </c>
    </row>
    <row r="30" spans="1:12" x14ac:dyDescent="0.3">
      <c r="A30">
        <v>0.92190998800000001</v>
      </c>
      <c r="B30">
        <v>0.24919000299999999</v>
      </c>
      <c r="C30">
        <v>0.5</v>
      </c>
      <c r="E30">
        <v>0.92198997699999996</v>
      </c>
      <c r="F30">
        <v>0.25</v>
      </c>
      <c r="G30">
        <v>0.5</v>
      </c>
      <c r="H30">
        <f t="shared" si="0"/>
        <v>-7.9988999999947019E-5</v>
      </c>
      <c r="I30">
        <f t="shared" si="0"/>
        <v>-8.0999700000000674E-4</v>
      </c>
      <c r="J30">
        <v>-8.1002699999999095E-4</v>
      </c>
      <c r="K30">
        <f t="shared" si="1"/>
        <v>-1.6200239999999977E-3</v>
      </c>
      <c r="L30">
        <f t="shared" si="2"/>
        <v>-8.1001199999999884E-4</v>
      </c>
    </row>
    <row r="31" spans="1:12" x14ac:dyDescent="0.3">
      <c r="A31">
        <v>0.95331001299999996</v>
      </c>
      <c r="B31">
        <v>0.256349981</v>
      </c>
      <c r="C31">
        <v>0.5</v>
      </c>
      <c r="E31">
        <v>0.95324003700000004</v>
      </c>
      <c r="F31">
        <v>0.25</v>
      </c>
      <c r="G31">
        <v>0.5</v>
      </c>
      <c r="H31">
        <f t="shared" si="0"/>
        <v>6.9975999999916105E-5</v>
      </c>
      <c r="I31">
        <f t="shared" si="0"/>
        <v>6.3499810000000045E-3</v>
      </c>
      <c r="J31">
        <v>6.349980999999949E-3</v>
      </c>
      <c r="K31">
        <f t="shared" si="1"/>
        <v>1.2699961999999954E-2</v>
      </c>
      <c r="L31">
        <f t="shared" si="2"/>
        <v>6.3499809999999768E-3</v>
      </c>
    </row>
    <row r="32" spans="1:12" x14ac:dyDescent="0.3">
      <c r="A32">
        <v>0.984459996</v>
      </c>
      <c r="B32">
        <v>0.26137000300000002</v>
      </c>
      <c r="C32">
        <v>0.5</v>
      </c>
      <c r="E32">
        <v>0.98448997699999996</v>
      </c>
      <c r="F32">
        <v>0.25</v>
      </c>
      <c r="G32">
        <v>0.5</v>
      </c>
      <c r="H32">
        <f t="shared" si="0"/>
        <v>-2.9980999999956737E-5</v>
      </c>
      <c r="I32">
        <f t="shared" si="0"/>
        <v>1.1370003000000017E-2</v>
      </c>
      <c r="J32">
        <v>1.1370003000000017E-2</v>
      </c>
      <c r="K32">
        <f t="shared" si="1"/>
        <v>2.2740006000000035E-2</v>
      </c>
      <c r="L32">
        <f t="shared" si="2"/>
        <v>1.1370003000000017E-2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08754-B536-41DD-9471-7B44EF9E8E12}">
  <dimension ref="A1:I32"/>
  <sheetViews>
    <sheetView workbookViewId="0">
      <selection activeCell="I1" sqref="I1:I1048576"/>
    </sheetView>
  </sheetViews>
  <sheetFormatPr defaultRowHeight="14" x14ac:dyDescent="0.3"/>
  <sheetData>
    <row r="1" spans="1:9" x14ac:dyDescent="0.3">
      <c r="A1">
        <v>1.575E-2</v>
      </c>
      <c r="B1">
        <v>0.76254999599999995</v>
      </c>
      <c r="C1">
        <v>0.5</v>
      </c>
      <c r="E1">
        <v>1.5740000000000001E-2</v>
      </c>
      <c r="F1">
        <v>0.75</v>
      </c>
      <c r="G1">
        <v>0.5</v>
      </c>
      <c r="H1">
        <f>A1-E1</f>
        <v>9.9999999999995925E-6</v>
      </c>
      <c r="I1">
        <f>B1-F1</f>
        <v>1.2549995999999952E-2</v>
      </c>
    </row>
    <row r="2" spans="1:9" x14ac:dyDescent="0.3">
      <c r="A2">
        <v>4.6940029000000001E-2</v>
      </c>
      <c r="B2">
        <v>0.759509981</v>
      </c>
      <c r="C2">
        <v>0.5</v>
      </c>
      <c r="E2">
        <v>4.6989977000000002E-2</v>
      </c>
      <c r="F2">
        <v>0.75</v>
      </c>
      <c r="G2">
        <v>0.5</v>
      </c>
      <c r="H2">
        <f t="shared" ref="H2:I32" si="0">A2-E2</f>
        <v>-4.9948000000001047E-5</v>
      </c>
      <c r="I2">
        <f t="shared" si="0"/>
        <v>9.5099810000000007E-3</v>
      </c>
    </row>
    <row r="3" spans="1:9" x14ac:dyDescent="0.3">
      <c r="A3">
        <v>7.8319997000000002E-2</v>
      </c>
      <c r="B3">
        <v>0.753250003</v>
      </c>
      <c r="C3">
        <v>0.5</v>
      </c>
      <c r="E3">
        <v>7.8240000000000004E-2</v>
      </c>
      <c r="F3">
        <v>0.75</v>
      </c>
      <c r="G3">
        <v>0.5</v>
      </c>
      <c r="H3">
        <f t="shared" si="0"/>
        <v>7.9996999999998319E-5</v>
      </c>
      <c r="I3">
        <f t="shared" si="0"/>
        <v>3.2500030000000013E-3</v>
      </c>
    </row>
    <row r="4" spans="1:9" x14ac:dyDescent="0.3">
      <c r="A4">
        <v>0.109420002</v>
      </c>
      <c r="B4">
        <v>0.74590998900000005</v>
      </c>
      <c r="C4">
        <v>0.5</v>
      </c>
      <c r="E4">
        <v>0.109489977</v>
      </c>
      <c r="F4">
        <v>0.75</v>
      </c>
      <c r="G4">
        <v>0.5</v>
      </c>
      <c r="H4">
        <f t="shared" si="0"/>
        <v>-6.9974999999999898E-5</v>
      </c>
      <c r="I4">
        <f t="shared" si="0"/>
        <v>-4.090010999999949E-3</v>
      </c>
    </row>
    <row r="5" spans="1:9" x14ac:dyDescent="0.3">
      <c r="A5">
        <v>0.140790001</v>
      </c>
      <c r="B5">
        <v>0.73993998800000005</v>
      </c>
      <c r="C5">
        <v>0.5</v>
      </c>
      <c r="E5">
        <v>0.140740007</v>
      </c>
      <c r="F5">
        <v>0.75</v>
      </c>
      <c r="G5">
        <v>0.5</v>
      </c>
      <c r="H5">
        <f t="shared" si="0"/>
        <v>4.9993999999997651E-5</v>
      </c>
      <c r="I5">
        <f t="shared" si="0"/>
        <v>-1.0060011999999952E-2</v>
      </c>
    </row>
    <row r="6" spans="1:9" x14ac:dyDescent="0.3">
      <c r="A6">
        <v>0.17198997699999999</v>
      </c>
      <c r="B6">
        <v>0.73736000099999999</v>
      </c>
      <c r="C6">
        <v>0.5</v>
      </c>
      <c r="E6">
        <v>0.17198997699999999</v>
      </c>
      <c r="F6">
        <v>0.75</v>
      </c>
      <c r="G6">
        <v>0.5</v>
      </c>
      <c r="H6">
        <f t="shared" si="0"/>
        <v>0</v>
      </c>
      <c r="I6">
        <f t="shared" si="0"/>
        <v>-1.2639999000000013E-2</v>
      </c>
    </row>
    <row r="7" spans="1:9" x14ac:dyDescent="0.3">
      <c r="A7">
        <v>0.20319999799999999</v>
      </c>
      <c r="B7">
        <v>0.73904997100000003</v>
      </c>
      <c r="C7">
        <v>0.5</v>
      </c>
      <c r="E7">
        <v>0.203240007</v>
      </c>
      <c r="F7">
        <v>0.75</v>
      </c>
      <c r="G7">
        <v>0.5</v>
      </c>
      <c r="H7">
        <f t="shared" si="0"/>
        <v>-4.0009000000007511E-5</v>
      </c>
      <c r="I7">
        <f t="shared" si="0"/>
        <v>-1.0950028999999972E-2</v>
      </c>
    </row>
    <row r="8" spans="1:9" x14ac:dyDescent="0.3">
      <c r="A8">
        <v>0.23456001300000001</v>
      </c>
      <c r="B8">
        <v>0.74441999199999997</v>
      </c>
      <c r="C8">
        <v>0.5</v>
      </c>
      <c r="E8">
        <v>0.23448997699999999</v>
      </c>
      <c r="F8">
        <v>0.75</v>
      </c>
      <c r="G8">
        <v>0.5</v>
      </c>
      <c r="H8">
        <f t="shared" si="0"/>
        <v>7.0036000000023302E-5</v>
      </c>
      <c r="I8">
        <f t="shared" si="0"/>
        <v>-5.5800080000000252E-3</v>
      </c>
    </row>
    <row r="9" spans="1:9" x14ac:dyDescent="0.3">
      <c r="A9">
        <v>0.26565998800000001</v>
      </c>
      <c r="B9">
        <v>0.75168001699999998</v>
      </c>
      <c r="C9">
        <v>0.5</v>
      </c>
      <c r="E9">
        <v>0.265740007</v>
      </c>
      <c r="F9">
        <v>0.75</v>
      </c>
      <c r="G9">
        <v>0.5</v>
      </c>
      <c r="H9">
        <f t="shared" si="0"/>
        <v>-8.001899999998674E-5</v>
      </c>
      <c r="I9">
        <f t="shared" si="0"/>
        <v>1.6800169999999781E-3</v>
      </c>
    </row>
    <row r="10" spans="1:9" x14ac:dyDescent="0.3">
      <c r="A10">
        <v>0.29704999900000001</v>
      </c>
      <c r="B10">
        <v>0.75836998200000005</v>
      </c>
      <c r="C10">
        <v>0.5</v>
      </c>
      <c r="E10">
        <v>0.29698997700000002</v>
      </c>
      <c r="F10">
        <v>0.75</v>
      </c>
      <c r="G10">
        <v>0.5</v>
      </c>
      <c r="H10">
        <f t="shared" si="0"/>
        <v>6.0021999999992914E-5</v>
      </c>
      <c r="I10">
        <f t="shared" si="0"/>
        <v>8.3699820000000535E-3</v>
      </c>
    </row>
    <row r="11" spans="1:9" x14ac:dyDescent="0.3">
      <c r="A11">
        <v>0.32822001000000001</v>
      </c>
      <c r="B11">
        <v>0.762239993</v>
      </c>
      <c r="C11">
        <v>0.5</v>
      </c>
      <c r="E11">
        <v>0.328240007</v>
      </c>
      <c r="F11">
        <v>0.75</v>
      </c>
      <c r="G11">
        <v>0.5</v>
      </c>
      <c r="H11">
        <f t="shared" si="0"/>
        <v>-1.9996999999993825E-5</v>
      </c>
      <c r="I11">
        <f t="shared" si="0"/>
        <v>1.2239993000000005E-2</v>
      </c>
    </row>
    <row r="12" spans="1:9" x14ac:dyDescent="0.3">
      <c r="A12">
        <v>0.35947001000000001</v>
      </c>
      <c r="B12">
        <v>0.76197999699999996</v>
      </c>
      <c r="C12">
        <v>0.5</v>
      </c>
      <c r="E12">
        <v>0.35948997700000002</v>
      </c>
      <c r="F12">
        <v>0.75</v>
      </c>
      <c r="G12">
        <v>0.5</v>
      </c>
      <c r="H12">
        <f t="shared" si="0"/>
        <v>-1.9967000000009616E-5</v>
      </c>
      <c r="I12">
        <f t="shared" si="0"/>
        <v>1.1979996999999964E-2</v>
      </c>
    </row>
    <row r="13" spans="1:9" x14ac:dyDescent="0.3">
      <c r="A13">
        <v>0.39081001300000001</v>
      </c>
      <c r="B13">
        <v>0.75769001199999997</v>
      </c>
      <c r="C13">
        <v>0.5</v>
      </c>
      <c r="E13">
        <v>0.390740007</v>
      </c>
      <c r="F13">
        <v>0.75</v>
      </c>
      <c r="G13">
        <v>0.5</v>
      </c>
      <c r="H13">
        <f t="shared" si="0"/>
        <v>7.0006000000011337E-5</v>
      </c>
      <c r="I13">
        <f t="shared" si="0"/>
        <v>7.6900119999999683E-3</v>
      </c>
    </row>
    <row r="14" spans="1:9" x14ac:dyDescent="0.3">
      <c r="A14">
        <v>0.42190998800000001</v>
      </c>
      <c r="B14">
        <v>0.75081002699999999</v>
      </c>
      <c r="C14">
        <v>0.5</v>
      </c>
      <c r="E14">
        <v>0.421990007</v>
      </c>
      <c r="F14">
        <v>0.75</v>
      </c>
      <c r="G14">
        <v>0.5</v>
      </c>
      <c r="H14">
        <f t="shared" si="0"/>
        <v>-8.001899999998674E-5</v>
      </c>
      <c r="I14">
        <f t="shared" si="0"/>
        <v>8.1002699999999095E-4</v>
      </c>
    </row>
    <row r="15" spans="1:9" x14ac:dyDescent="0.3">
      <c r="A15">
        <v>0.45331001300000001</v>
      </c>
      <c r="B15">
        <v>0.74365001900000005</v>
      </c>
      <c r="C15">
        <v>0.5</v>
      </c>
      <c r="E15">
        <v>0.453240007</v>
      </c>
      <c r="F15">
        <v>0.75</v>
      </c>
      <c r="G15">
        <v>0.5</v>
      </c>
      <c r="H15">
        <f t="shared" si="0"/>
        <v>7.0006000000011337E-5</v>
      </c>
      <c r="I15">
        <f t="shared" si="0"/>
        <v>-6.349980999999949E-3</v>
      </c>
    </row>
    <row r="16" spans="1:9" x14ac:dyDescent="0.3">
      <c r="A16">
        <v>0.484459996</v>
      </c>
      <c r="B16">
        <v>0.73862999699999998</v>
      </c>
      <c r="C16">
        <v>0.5</v>
      </c>
      <c r="E16">
        <v>0.484490007</v>
      </c>
      <c r="F16">
        <v>0.75</v>
      </c>
      <c r="G16">
        <v>0.5</v>
      </c>
      <c r="H16">
        <f t="shared" si="0"/>
        <v>-3.0010999999996457E-5</v>
      </c>
      <c r="I16">
        <f t="shared" si="0"/>
        <v>-1.1370003000000017E-2</v>
      </c>
    </row>
    <row r="17" spans="1:9" x14ac:dyDescent="0.3">
      <c r="A17">
        <v>0.51573002300000004</v>
      </c>
      <c r="B17">
        <v>0.73745000400000005</v>
      </c>
      <c r="C17">
        <v>0.5</v>
      </c>
      <c r="E17">
        <v>0.51573997699999996</v>
      </c>
      <c r="F17">
        <v>0.75</v>
      </c>
      <c r="G17">
        <v>0.5</v>
      </c>
      <c r="H17">
        <f t="shared" si="0"/>
        <v>-9.953999999923191E-6</v>
      </c>
      <c r="I17">
        <f t="shared" si="0"/>
        <v>-1.2549995999999952E-2</v>
      </c>
    </row>
    <row r="18" spans="1:9" x14ac:dyDescent="0.3">
      <c r="A18">
        <v>0.54704999899999995</v>
      </c>
      <c r="B18">
        <v>0.74048996</v>
      </c>
      <c r="C18">
        <v>0.5</v>
      </c>
      <c r="E18">
        <v>0.54698997699999996</v>
      </c>
      <c r="F18">
        <v>0.75</v>
      </c>
      <c r="G18">
        <v>0.5</v>
      </c>
      <c r="H18">
        <f t="shared" si="0"/>
        <v>6.0021999999992914E-5</v>
      </c>
      <c r="I18">
        <f t="shared" si="0"/>
        <v>-9.5100399999999974E-3</v>
      </c>
    </row>
    <row r="19" spans="1:9" x14ac:dyDescent="0.3">
      <c r="A19">
        <v>0.57815998800000001</v>
      </c>
      <c r="B19">
        <v>0.746749997</v>
      </c>
      <c r="C19">
        <v>0.5</v>
      </c>
      <c r="E19">
        <v>0.57823997699999996</v>
      </c>
      <c r="F19">
        <v>0.75</v>
      </c>
      <c r="G19">
        <v>0.5</v>
      </c>
      <c r="H19">
        <f t="shared" si="0"/>
        <v>-7.9988999999947019E-5</v>
      </c>
      <c r="I19">
        <f t="shared" si="0"/>
        <v>-3.2500030000000013E-3</v>
      </c>
    </row>
    <row r="20" spans="1:9" x14ac:dyDescent="0.3">
      <c r="A20">
        <v>0.60957002599999999</v>
      </c>
      <c r="B20">
        <v>0.75409001099999995</v>
      </c>
      <c r="C20">
        <v>0.5</v>
      </c>
      <c r="E20">
        <v>0.60948997699999996</v>
      </c>
      <c r="F20">
        <v>0.75</v>
      </c>
      <c r="G20">
        <v>0.5</v>
      </c>
      <c r="H20">
        <f t="shared" si="0"/>
        <v>8.004900000002646E-5</v>
      </c>
      <c r="I20">
        <f t="shared" si="0"/>
        <v>4.090010999999949E-3</v>
      </c>
    </row>
    <row r="21" spans="1:9" x14ac:dyDescent="0.3">
      <c r="A21">
        <v>0.64069002900000005</v>
      </c>
      <c r="B21">
        <v>0.76006001199999995</v>
      </c>
      <c r="C21">
        <v>0.5</v>
      </c>
      <c r="E21">
        <v>0.64073997699999996</v>
      </c>
      <c r="F21">
        <v>0.75</v>
      </c>
      <c r="G21">
        <v>0.5</v>
      </c>
      <c r="H21">
        <f t="shared" si="0"/>
        <v>-4.9947999999910841E-5</v>
      </c>
      <c r="I21">
        <f t="shared" si="0"/>
        <v>1.0060011999999952E-2</v>
      </c>
    </row>
    <row r="22" spans="1:9" x14ac:dyDescent="0.3">
      <c r="A22">
        <v>0.67199999099999996</v>
      </c>
      <c r="B22">
        <v>0.76263999900000001</v>
      </c>
      <c r="C22">
        <v>0.5</v>
      </c>
      <c r="E22">
        <v>0.67199003700000004</v>
      </c>
      <c r="F22">
        <v>0.75</v>
      </c>
      <c r="G22">
        <v>0.5</v>
      </c>
      <c r="H22">
        <f t="shared" si="0"/>
        <v>9.953999999923191E-6</v>
      </c>
      <c r="I22">
        <f t="shared" si="0"/>
        <v>1.2639999000000013E-2</v>
      </c>
    </row>
    <row r="23" spans="1:9" x14ac:dyDescent="0.3">
      <c r="A23">
        <v>0.70327997200000003</v>
      </c>
      <c r="B23">
        <v>0.76095002899999997</v>
      </c>
      <c r="C23">
        <v>0.5</v>
      </c>
      <c r="E23">
        <v>0.70323997699999996</v>
      </c>
      <c r="F23">
        <v>0.75</v>
      </c>
      <c r="G23">
        <v>0.5</v>
      </c>
      <c r="H23">
        <f t="shared" si="0"/>
        <v>3.9995000000070391E-5</v>
      </c>
      <c r="I23">
        <f t="shared" si="0"/>
        <v>1.0950028999999972E-2</v>
      </c>
    </row>
    <row r="24" spans="1:9" x14ac:dyDescent="0.3">
      <c r="A24">
        <v>0.73442000200000002</v>
      </c>
      <c r="B24">
        <v>0.75558000800000003</v>
      </c>
      <c r="C24">
        <v>0.5</v>
      </c>
      <c r="E24">
        <v>0.73449003700000004</v>
      </c>
      <c r="F24">
        <v>0.75</v>
      </c>
      <c r="G24">
        <v>0.5</v>
      </c>
      <c r="H24">
        <f t="shared" si="0"/>
        <v>-7.0035000000023828E-5</v>
      </c>
      <c r="I24">
        <f t="shared" si="0"/>
        <v>5.5800080000000252E-3</v>
      </c>
    </row>
    <row r="25" spans="1:9" x14ac:dyDescent="0.3">
      <c r="A25">
        <v>0.76582002599999999</v>
      </c>
      <c r="B25">
        <v>0.74831998300000002</v>
      </c>
      <c r="C25">
        <v>0.5</v>
      </c>
      <c r="E25">
        <v>0.76573997699999996</v>
      </c>
      <c r="F25">
        <v>0.75</v>
      </c>
      <c r="G25">
        <v>0.5</v>
      </c>
      <c r="H25">
        <f t="shared" si="0"/>
        <v>8.004900000002646E-5</v>
      </c>
      <c r="I25">
        <f t="shared" si="0"/>
        <v>-1.6800169999999781E-3</v>
      </c>
    </row>
    <row r="26" spans="1:9" x14ac:dyDescent="0.3">
      <c r="A26">
        <v>0.79692995499999997</v>
      </c>
      <c r="B26">
        <v>0.74162995799999998</v>
      </c>
      <c r="C26">
        <v>0.5</v>
      </c>
      <c r="E26">
        <v>0.79699003700000004</v>
      </c>
      <c r="F26">
        <v>0.75</v>
      </c>
      <c r="G26">
        <v>0.5</v>
      </c>
      <c r="H26">
        <f t="shared" si="0"/>
        <v>-6.0082000000072355E-5</v>
      </c>
      <c r="I26">
        <f t="shared" si="0"/>
        <v>-8.370042000000022E-3</v>
      </c>
    </row>
    <row r="27" spans="1:9" x14ac:dyDescent="0.3">
      <c r="A27">
        <v>0.82826000499999997</v>
      </c>
      <c r="B27">
        <v>0.737760007</v>
      </c>
      <c r="C27">
        <v>0.5</v>
      </c>
      <c r="E27">
        <v>0.82823997699999996</v>
      </c>
      <c r="F27">
        <v>0.75</v>
      </c>
      <c r="G27">
        <v>0.5</v>
      </c>
      <c r="H27">
        <f t="shared" si="0"/>
        <v>2.0028000000005264E-5</v>
      </c>
      <c r="I27">
        <f t="shared" si="0"/>
        <v>-1.2239993000000005E-2</v>
      </c>
    </row>
    <row r="28" spans="1:9" x14ac:dyDescent="0.3">
      <c r="A28">
        <v>0.85951995800000003</v>
      </c>
      <c r="B28">
        <v>0.73802000300000004</v>
      </c>
      <c r="C28">
        <v>0.5</v>
      </c>
      <c r="E28">
        <v>0.85949003700000004</v>
      </c>
      <c r="F28">
        <v>0.75</v>
      </c>
      <c r="G28">
        <v>0.5</v>
      </c>
      <c r="H28">
        <f t="shared" si="0"/>
        <v>2.9920999999988318E-5</v>
      </c>
      <c r="I28">
        <f t="shared" si="0"/>
        <v>-1.1979996999999964E-2</v>
      </c>
    </row>
    <row r="29" spans="1:9" x14ac:dyDescent="0.3">
      <c r="A29">
        <v>0.89068001500000005</v>
      </c>
      <c r="B29">
        <v>0.74230998800000003</v>
      </c>
      <c r="C29">
        <v>0.5</v>
      </c>
      <c r="E29">
        <v>0.89073997699999996</v>
      </c>
      <c r="F29">
        <v>0.75</v>
      </c>
      <c r="G29">
        <v>0.5</v>
      </c>
      <c r="H29">
        <f t="shared" si="0"/>
        <v>-5.9961999999913473E-5</v>
      </c>
      <c r="I29">
        <f t="shared" si="0"/>
        <v>-7.6900119999999683E-3</v>
      </c>
    </row>
    <row r="30" spans="1:9" x14ac:dyDescent="0.3">
      <c r="A30">
        <v>0.92207002599999999</v>
      </c>
      <c r="B30">
        <v>0.74918997300000001</v>
      </c>
      <c r="C30">
        <v>0.5</v>
      </c>
      <c r="E30">
        <v>0.92199003700000004</v>
      </c>
      <c r="F30">
        <v>0.75</v>
      </c>
      <c r="G30">
        <v>0.5</v>
      </c>
      <c r="H30">
        <f t="shared" si="0"/>
        <v>7.9988999999947019E-5</v>
      </c>
      <c r="I30">
        <f t="shared" si="0"/>
        <v>-8.1002699999999095E-4</v>
      </c>
    </row>
    <row r="31" spans="1:9" x14ac:dyDescent="0.3">
      <c r="A31">
        <v>0.95317000200000002</v>
      </c>
      <c r="B31">
        <v>0.75634998099999995</v>
      </c>
      <c r="C31">
        <v>0.5</v>
      </c>
      <c r="E31">
        <v>0.95323997699999996</v>
      </c>
      <c r="F31">
        <v>0.75</v>
      </c>
      <c r="G31">
        <v>0.5</v>
      </c>
      <c r="H31">
        <f t="shared" si="0"/>
        <v>-6.9974999999944387E-5</v>
      </c>
      <c r="I31">
        <f t="shared" si="0"/>
        <v>6.349980999999949E-3</v>
      </c>
    </row>
    <row r="32" spans="1:9" x14ac:dyDescent="0.3">
      <c r="A32">
        <v>0.98452997200000003</v>
      </c>
      <c r="B32">
        <v>0.76137000300000002</v>
      </c>
      <c r="C32">
        <v>0.5</v>
      </c>
      <c r="E32">
        <v>0.98449003700000004</v>
      </c>
      <c r="F32">
        <v>0.75</v>
      </c>
      <c r="G32">
        <v>0.5</v>
      </c>
      <c r="H32">
        <f t="shared" si="0"/>
        <v>3.993499999999095E-5</v>
      </c>
      <c r="I32">
        <f t="shared" si="0"/>
        <v>1.1370003000000017E-2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8A1FF-ABFC-415F-9805-E0B3FD4D65AC}">
  <dimension ref="A1:I32"/>
  <sheetViews>
    <sheetView workbookViewId="0">
      <selection activeCell="I1" sqref="I1:I32"/>
    </sheetView>
  </sheetViews>
  <sheetFormatPr defaultRowHeight="14" x14ac:dyDescent="0.3"/>
  <sheetData>
    <row r="1" spans="1:9" x14ac:dyDescent="0.3">
      <c r="A1">
        <v>1.2E-4</v>
      </c>
      <c r="B1">
        <v>0.51296997099999997</v>
      </c>
      <c r="C1">
        <v>0</v>
      </c>
      <c r="E1">
        <v>1.2E-4</v>
      </c>
      <c r="F1">
        <v>0.5</v>
      </c>
      <c r="G1">
        <v>0</v>
      </c>
      <c r="H1">
        <f>A1-E1</f>
        <v>0</v>
      </c>
      <c r="I1">
        <f>B1-F1</f>
        <v>1.2969970999999969E-2</v>
      </c>
    </row>
    <row r="2" spans="1:9" x14ac:dyDescent="0.3">
      <c r="A2">
        <v>3.1369999000000003E-2</v>
      </c>
      <c r="B2">
        <v>1.1650000000000001E-2</v>
      </c>
      <c r="C2">
        <v>0</v>
      </c>
      <c r="E2">
        <v>3.1369999000000003E-2</v>
      </c>
      <c r="F2">
        <v>0</v>
      </c>
      <c r="G2">
        <v>0</v>
      </c>
      <c r="H2">
        <f t="shared" ref="H2:I32" si="0">A2-E2</f>
        <v>0</v>
      </c>
      <c r="I2">
        <f>B2-F2</f>
        <v>1.1650000000000001E-2</v>
      </c>
    </row>
    <row r="3" spans="1:9" x14ac:dyDescent="0.3">
      <c r="A3">
        <v>6.2619998999999996E-2</v>
      </c>
      <c r="B3">
        <v>0.50639998900000005</v>
      </c>
      <c r="C3">
        <v>0</v>
      </c>
      <c r="E3">
        <v>6.2619998999999996E-2</v>
      </c>
      <c r="F3">
        <v>0.5</v>
      </c>
      <c r="G3">
        <v>0</v>
      </c>
      <c r="H3">
        <f t="shared" si="0"/>
        <v>0</v>
      </c>
      <c r="I3">
        <f t="shared" si="0"/>
        <v>6.3999890000000503E-3</v>
      </c>
    </row>
    <row r="4" spans="1:9" x14ac:dyDescent="0.3">
      <c r="A4">
        <v>9.3869998999999996E-2</v>
      </c>
      <c r="B4">
        <v>0.99900001299999996</v>
      </c>
      <c r="C4">
        <v>0</v>
      </c>
      <c r="E4">
        <v>9.3869998999999996E-2</v>
      </c>
      <c r="F4">
        <v>0</v>
      </c>
      <c r="G4">
        <v>0</v>
      </c>
      <c r="H4">
        <f t="shared" si="0"/>
        <v>0</v>
      </c>
      <c r="I4">
        <f>B4-F4-1</f>
        <v>-9.9998700000003549E-4</v>
      </c>
    </row>
    <row r="5" spans="1:9" x14ac:dyDescent="0.3">
      <c r="A5">
        <v>0.12511999900000001</v>
      </c>
      <c r="B5">
        <v>0.49193000799999997</v>
      </c>
      <c r="C5">
        <v>0</v>
      </c>
      <c r="E5">
        <v>0.12511999900000001</v>
      </c>
      <c r="F5">
        <v>0.5</v>
      </c>
      <c r="G5">
        <v>0</v>
      </c>
      <c r="H5">
        <f t="shared" si="0"/>
        <v>0</v>
      </c>
      <c r="I5">
        <f t="shared" si="0"/>
        <v>-8.0699920000000258E-3</v>
      </c>
    </row>
    <row r="6" spans="1:9" x14ac:dyDescent="0.3">
      <c r="A6">
        <v>0.15636999900000001</v>
      </c>
      <c r="B6">
        <v>0.98758000099999999</v>
      </c>
      <c r="C6">
        <v>0</v>
      </c>
      <c r="E6">
        <v>0.15636999900000001</v>
      </c>
      <c r="F6">
        <v>0</v>
      </c>
      <c r="G6">
        <v>0</v>
      </c>
      <c r="H6">
        <f t="shared" si="0"/>
        <v>0</v>
      </c>
      <c r="I6">
        <f>B6-F6-1</f>
        <v>-1.2419999000000015E-2</v>
      </c>
    </row>
    <row r="7" spans="1:9" x14ac:dyDescent="0.3">
      <c r="A7">
        <v>0.18761999900000001</v>
      </c>
      <c r="B7">
        <v>0.487419993</v>
      </c>
      <c r="C7">
        <v>0</v>
      </c>
      <c r="E7">
        <v>0.18761999900000001</v>
      </c>
      <c r="F7">
        <v>0.5</v>
      </c>
      <c r="G7">
        <v>0</v>
      </c>
      <c r="H7">
        <f t="shared" si="0"/>
        <v>0</v>
      </c>
      <c r="I7">
        <f t="shared" si="0"/>
        <v>-1.2580007000000004E-2</v>
      </c>
    </row>
    <row r="8" spans="1:9" x14ac:dyDescent="0.3">
      <c r="A8">
        <v>0.21886999900000001</v>
      </c>
      <c r="B8">
        <v>0.99150002000000004</v>
      </c>
      <c r="C8">
        <v>0</v>
      </c>
      <c r="E8">
        <v>0.21886999900000001</v>
      </c>
      <c r="F8">
        <v>0</v>
      </c>
      <c r="G8">
        <v>0</v>
      </c>
      <c r="H8">
        <f t="shared" si="0"/>
        <v>0</v>
      </c>
      <c r="I8">
        <f>B8-F8-1</f>
        <v>-8.4999799999999626E-3</v>
      </c>
    </row>
    <row r="9" spans="1:9" x14ac:dyDescent="0.3">
      <c r="A9">
        <v>0.250120014</v>
      </c>
      <c r="B9">
        <v>0.49843999700000002</v>
      </c>
      <c r="C9">
        <v>0</v>
      </c>
      <c r="E9">
        <v>0.250120014</v>
      </c>
      <c r="F9">
        <v>0.5</v>
      </c>
      <c r="G9">
        <v>0</v>
      </c>
      <c r="H9">
        <f t="shared" si="0"/>
        <v>0</v>
      </c>
      <c r="I9">
        <f t="shared" si="0"/>
        <v>-1.5600029999999765E-3</v>
      </c>
    </row>
    <row r="10" spans="1:9" x14ac:dyDescent="0.3">
      <c r="A10">
        <v>0.281370014</v>
      </c>
      <c r="B10">
        <v>5.9100000000000003E-3</v>
      </c>
      <c r="C10">
        <v>0</v>
      </c>
      <c r="E10">
        <v>0.281370014</v>
      </c>
      <c r="F10">
        <v>0</v>
      </c>
      <c r="G10">
        <v>0</v>
      </c>
      <c r="H10">
        <f t="shared" si="0"/>
        <v>0</v>
      </c>
      <c r="I10">
        <f t="shared" si="0"/>
        <v>5.9100000000000003E-3</v>
      </c>
    </row>
    <row r="11" spans="1:9" x14ac:dyDescent="0.3">
      <c r="A11">
        <v>0.312620014</v>
      </c>
      <c r="B11">
        <v>0.51138997100000005</v>
      </c>
      <c r="C11">
        <v>0</v>
      </c>
      <c r="E11">
        <v>0.312620014</v>
      </c>
      <c r="F11">
        <v>0.5</v>
      </c>
      <c r="G11">
        <v>0</v>
      </c>
      <c r="H11">
        <f t="shared" si="0"/>
        <v>0</v>
      </c>
      <c r="I11">
        <f t="shared" si="0"/>
        <v>1.1389971000000054E-2</v>
      </c>
    </row>
    <row r="12" spans="1:9" x14ac:dyDescent="0.3">
      <c r="A12">
        <v>0.343870014</v>
      </c>
      <c r="B12">
        <v>1.303E-2</v>
      </c>
      <c r="C12">
        <v>0</v>
      </c>
      <c r="E12">
        <v>0.343870014</v>
      </c>
      <c r="F12">
        <v>0</v>
      </c>
      <c r="G12">
        <v>0</v>
      </c>
      <c r="H12">
        <f t="shared" si="0"/>
        <v>0</v>
      </c>
      <c r="I12">
        <f t="shared" si="0"/>
        <v>1.303E-2</v>
      </c>
    </row>
    <row r="13" spans="1:9" x14ac:dyDescent="0.3">
      <c r="A13">
        <v>0.375120014</v>
      </c>
      <c r="B13">
        <v>0.51027</v>
      </c>
      <c r="C13">
        <v>0</v>
      </c>
      <c r="E13">
        <v>0.375120014</v>
      </c>
      <c r="F13">
        <v>0.5</v>
      </c>
      <c r="G13">
        <v>0</v>
      </c>
      <c r="H13">
        <f t="shared" si="0"/>
        <v>0</v>
      </c>
      <c r="I13">
        <f t="shared" si="0"/>
        <v>1.0270000000000001E-2</v>
      </c>
    </row>
    <row r="14" spans="1:9" x14ac:dyDescent="0.3">
      <c r="A14">
        <v>0.406370014</v>
      </c>
      <c r="B14">
        <v>4.0600000000000002E-3</v>
      </c>
      <c r="C14">
        <v>0</v>
      </c>
      <c r="E14">
        <v>0.406370014</v>
      </c>
      <c r="F14">
        <v>0</v>
      </c>
      <c r="G14">
        <v>0</v>
      </c>
      <c r="H14">
        <f t="shared" si="0"/>
        <v>0</v>
      </c>
      <c r="I14">
        <f t="shared" si="0"/>
        <v>4.0600000000000002E-3</v>
      </c>
    </row>
    <row r="15" spans="1:9" x14ac:dyDescent="0.3">
      <c r="A15">
        <v>0.437620014</v>
      </c>
      <c r="B15">
        <v>0.49647000400000002</v>
      </c>
      <c r="C15">
        <v>0</v>
      </c>
      <c r="E15">
        <v>0.437620014</v>
      </c>
      <c r="F15">
        <v>0.5</v>
      </c>
      <c r="G15">
        <v>0</v>
      </c>
      <c r="H15">
        <f t="shared" si="0"/>
        <v>0</v>
      </c>
      <c r="I15">
        <f t="shared" si="0"/>
        <v>-3.5299959999999797E-3</v>
      </c>
    </row>
    <row r="16" spans="1:9" x14ac:dyDescent="0.3">
      <c r="A16">
        <v>0.468870014</v>
      </c>
      <c r="B16">
        <v>0.99007999899999999</v>
      </c>
      <c r="C16">
        <v>0</v>
      </c>
      <c r="E16">
        <v>0.468870014</v>
      </c>
      <c r="F16">
        <v>0</v>
      </c>
      <c r="G16">
        <v>0</v>
      </c>
      <c r="H16">
        <f t="shared" si="0"/>
        <v>0</v>
      </c>
      <c r="I16">
        <f>B16-F16-1</f>
        <v>-9.9200010000000116E-3</v>
      </c>
    </row>
    <row r="17" spans="1:9" x14ac:dyDescent="0.3">
      <c r="A17">
        <v>0.50011998400000002</v>
      </c>
      <c r="B17">
        <v>0.48703002899999998</v>
      </c>
      <c r="C17">
        <v>0</v>
      </c>
      <c r="E17">
        <v>0.50011998400000002</v>
      </c>
      <c r="F17">
        <v>0.5</v>
      </c>
      <c r="G17">
        <v>0</v>
      </c>
      <c r="H17">
        <f t="shared" si="0"/>
        <v>0</v>
      </c>
      <c r="I17">
        <f t="shared" si="0"/>
        <v>-1.2969971000000025E-2</v>
      </c>
    </row>
    <row r="18" spans="1:9" x14ac:dyDescent="0.3">
      <c r="A18">
        <v>0.53136998400000002</v>
      </c>
      <c r="B18">
        <v>0.98834997400000002</v>
      </c>
      <c r="C18">
        <v>0</v>
      </c>
      <c r="E18">
        <v>0.53136998400000002</v>
      </c>
      <c r="F18">
        <v>0</v>
      </c>
      <c r="G18">
        <v>0</v>
      </c>
      <c r="H18">
        <f t="shared" si="0"/>
        <v>0</v>
      </c>
      <c r="I18">
        <f>B18-F18-1</f>
        <v>-1.165002599999998E-2</v>
      </c>
    </row>
    <row r="19" spans="1:9" x14ac:dyDescent="0.3">
      <c r="A19">
        <v>0.56261998400000002</v>
      </c>
      <c r="B19">
        <v>0.49360001100000001</v>
      </c>
      <c r="C19">
        <v>0</v>
      </c>
      <c r="E19">
        <v>0.56261998400000002</v>
      </c>
      <c r="F19">
        <v>0.5</v>
      </c>
      <c r="G19">
        <v>0</v>
      </c>
      <c r="H19">
        <f t="shared" si="0"/>
        <v>0</v>
      </c>
      <c r="I19">
        <f t="shared" si="0"/>
        <v>-6.3999889999999948E-3</v>
      </c>
    </row>
    <row r="20" spans="1:9" x14ac:dyDescent="0.3">
      <c r="A20">
        <v>0.59386998400000002</v>
      </c>
      <c r="B20">
        <v>1E-3</v>
      </c>
      <c r="C20">
        <v>0</v>
      </c>
      <c r="E20">
        <v>0.59386998400000002</v>
      </c>
      <c r="F20">
        <v>0</v>
      </c>
      <c r="G20">
        <v>0</v>
      </c>
      <c r="H20">
        <f t="shared" si="0"/>
        <v>0</v>
      </c>
      <c r="I20">
        <f>B20-F20</f>
        <v>1E-3</v>
      </c>
    </row>
    <row r="21" spans="1:9" x14ac:dyDescent="0.3">
      <c r="A21">
        <v>0.62511998400000002</v>
      </c>
      <c r="B21">
        <v>0.50806999200000003</v>
      </c>
      <c r="C21">
        <v>0</v>
      </c>
      <c r="E21">
        <v>0.62511998400000002</v>
      </c>
      <c r="F21">
        <v>0.5</v>
      </c>
      <c r="G21">
        <v>0</v>
      </c>
      <c r="H21">
        <f t="shared" si="0"/>
        <v>0</v>
      </c>
      <c r="I21">
        <f t="shared" si="0"/>
        <v>8.0699920000000258E-3</v>
      </c>
    </row>
    <row r="22" spans="1:9" x14ac:dyDescent="0.3">
      <c r="A22">
        <v>0.65636998400000002</v>
      </c>
      <c r="B22">
        <v>1.242E-2</v>
      </c>
      <c r="C22">
        <v>0</v>
      </c>
      <c r="E22">
        <v>0.65636998400000002</v>
      </c>
      <c r="F22">
        <v>0</v>
      </c>
      <c r="G22">
        <v>0</v>
      </c>
      <c r="H22">
        <f t="shared" si="0"/>
        <v>0</v>
      </c>
      <c r="I22">
        <f>B22-F22</f>
        <v>1.242E-2</v>
      </c>
    </row>
    <row r="23" spans="1:9" x14ac:dyDescent="0.3">
      <c r="A23">
        <v>0.68761998400000002</v>
      </c>
      <c r="B23">
        <v>0.51258003699999999</v>
      </c>
      <c r="C23">
        <v>0</v>
      </c>
      <c r="E23">
        <v>0.68761998400000002</v>
      </c>
      <c r="F23">
        <v>0.5</v>
      </c>
      <c r="G23">
        <v>0</v>
      </c>
      <c r="H23">
        <f t="shared" si="0"/>
        <v>0</v>
      </c>
      <c r="I23">
        <f t="shared" si="0"/>
        <v>1.2580036999999988E-2</v>
      </c>
    </row>
    <row r="24" spans="1:9" x14ac:dyDescent="0.3">
      <c r="A24">
        <v>0.71886998400000002</v>
      </c>
      <c r="B24">
        <v>8.5000000000000006E-3</v>
      </c>
      <c r="C24">
        <v>0</v>
      </c>
      <c r="E24">
        <v>0.71886998400000002</v>
      </c>
      <c r="F24">
        <v>0</v>
      </c>
      <c r="G24">
        <v>0</v>
      </c>
      <c r="H24">
        <f t="shared" si="0"/>
        <v>0</v>
      </c>
      <c r="I24">
        <f>B24-F24</f>
        <v>8.5000000000000006E-3</v>
      </c>
    </row>
    <row r="25" spans="1:9" x14ac:dyDescent="0.3">
      <c r="A25">
        <v>0.75012004399999999</v>
      </c>
      <c r="B25">
        <v>0.50155997299999999</v>
      </c>
      <c r="C25">
        <v>0</v>
      </c>
      <c r="E25">
        <v>0.75012004399999999</v>
      </c>
      <c r="F25">
        <v>0.5</v>
      </c>
      <c r="G25">
        <v>0</v>
      </c>
      <c r="H25">
        <f t="shared" si="0"/>
        <v>0</v>
      </c>
      <c r="I25">
        <f t="shared" si="0"/>
        <v>1.5599729999999923E-3</v>
      </c>
    </row>
    <row r="26" spans="1:9" x14ac:dyDescent="0.3">
      <c r="A26">
        <v>0.78137004399999999</v>
      </c>
      <c r="B26">
        <v>0.99409002099999999</v>
      </c>
      <c r="C26">
        <v>0</v>
      </c>
      <c r="E26">
        <v>0.78137004399999999</v>
      </c>
      <c r="F26">
        <v>0</v>
      </c>
      <c r="G26">
        <v>0</v>
      </c>
      <c r="H26">
        <f t="shared" si="0"/>
        <v>0</v>
      </c>
      <c r="I26">
        <f>B26-F26-1</f>
        <v>-5.9099790000000096E-3</v>
      </c>
    </row>
    <row r="27" spans="1:9" x14ac:dyDescent="0.3">
      <c r="A27">
        <v>0.81262004399999999</v>
      </c>
      <c r="B27">
        <v>0.488610029</v>
      </c>
      <c r="C27">
        <v>0</v>
      </c>
      <c r="E27">
        <v>0.81262004399999999</v>
      </c>
      <c r="F27">
        <v>0.5</v>
      </c>
      <c r="G27">
        <v>0</v>
      </c>
      <c r="H27">
        <f t="shared" si="0"/>
        <v>0</v>
      </c>
      <c r="I27">
        <f t="shared" si="0"/>
        <v>-1.1389970999999999E-2</v>
      </c>
    </row>
    <row r="28" spans="1:9" x14ac:dyDescent="0.3">
      <c r="A28">
        <v>0.84387004399999999</v>
      </c>
      <c r="B28">
        <v>0.98697000700000004</v>
      </c>
      <c r="C28">
        <v>0</v>
      </c>
      <c r="E28">
        <v>0.84387004399999999</v>
      </c>
      <c r="F28">
        <v>0</v>
      </c>
      <c r="G28">
        <v>0</v>
      </c>
      <c r="H28">
        <f t="shared" si="0"/>
        <v>0</v>
      </c>
      <c r="I28">
        <f>B28-F28-1</f>
        <v>-1.3029992999999962E-2</v>
      </c>
    </row>
    <row r="29" spans="1:9" x14ac:dyDescent="0.3">
      <c r="A29">
        <v>0.87512004399999999</v>
      </c>
      <c r="B29">
        <v>0.48973</v>
      </c>
      <c r="C29">
        <v>0</v>
      </c>
      <c r="E29">
        <v>0.87512004399999999</v>
      </c>
      <c r="F29">
        <v>0.5</v>
      </c>
      <c r="G29">
        <v>0</v>
      </c>
      <c r="H29">
        <f t="shared" si="0"/>
        <v>0</v>
      </c>
      <c r="I29">
        <f t="shared" si="0"/>
        <v>-1.0270000000000001E-2</v>
      </c>
    </row>
    <row r="30" spans="1:9" x14ac:dyDescent="0.3">
      <c r="A30">
        <v>0.90637004399999999</v>
      </c>
      <c r="B30">
        <v>0.99593997000000001</v>
      </c>
      <c r="C30">
        <v>0</v>
      </c>
      <c r="E30">
        <v>0.90637004399999999</v>
      </c>
      <c r="F30">
        <v>0</v>
      </c>
      <c r="G30">
        <v>0</v>
      </c>
      <c r="H30">
        <f t="shared" si="0"/>
        <v>0</v>
      </c>
      <c r="I30">
        <f>B30-F30-1</f>
        <v>-4.0600299999999923E-3</v>
      </c>
    </row>
    <row r="31" spans="1:9" x14ac:dyDescent="0.3">
      <c r="A31">
        <v>0.93762004399999999</v>
      </c>
      <c r="B31">
        <v>0.50353002499999999</v>
      </c>
      <c r="C31">
        <v>0</v>
      </c>
      <c r="E31">
        <v>0.93762004399999999</v>
      </c>
      <c r="F31">
        <v>0.5</v>
      </c>
      <c r="G31">
        <v>0</v>
      </c>
      <c r="H31">
        <f t="shared" si="0"/>
        <v>0</v>
      </c>
      <c r="I31">
        <f t="shared" si="0"/>
        <v>3.5300249999999922E-3</v>
      </c>
    </row>
    <row r="32" spans="1:9" x14ac:dyDescent="0.3">
      <c r="A32">
        <v>0.96887004399999999</v>
      </c>
      <c r="B32">
        <v>9.92E-3</v>
      </c>
      <c r="C32">
        <v>0</v>
      </c>
      <c r="E32">
        <v>0.96887004399999999</v>
      </c>
      <c r="F32">
        <v>0</v>
      </c>
      <c r="G32">
        <v>0</v>
      </c>
      <c r="H32">
        <f t="shared" si="0"/>
        <v>0</v>
      </c>
      <c r="I32">
        <f>B32-F32</f>
        <v>9.92E-3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F63BA-1C90-428B-9448-B1320E3799AD}">
  <dimension ref="A1:L33"/>
  <sheetViews>
    <sheetView zoomScale="55" zoomScaleNormal="55" workbookViewId="0">
      <selection activeCell="J2" sqref="J2:L33"/>
    </sheetView>
  </sheetViews>
  <sheetFormatPr defaultRowHeight="14" x14ac:dyDescent="0.3"/>
  <sheetData>
    <row r="1" spans="1:12" x14ac:dyDescent="0.3">
      <c r="B1" t="s">
        <v>0</v>
      </c>
      <c r="C1" t="s">
        <v>1</v>
      </c>
      <c r="D1" t="s">
        <v>2</v>
      </c>
      <c r="E1" t="s">
        <v>3</v>
      </c>
    </row>
    <row r="2" spans="1:12" x14ac:dyDescent="0.3">
      <c r="A2">
        <v>1</v>
      </c>
      <c r="B2">
        <v>4.3699999999999998E-3</v>
      </c>
      <c r="C2">
        <v>7.0000289999999632E-3</v>
      </c>
      <c r="D2">
        <v>1.254999599999998E-2</v>
      </c>
      <c r="E2">
        <v>1.2969970999999969E-2</v>
      </c>
      <c r="F2">
        <f>B2+C2+E2</f>
        <v>2.4339999999999931E-2</v>
      </c>
      <c r="G2">
        <f>F2+D2+D33</f>
        <v>4.8259998999999928E-2</v>
      </c>
      <c r="H2">
        <v>5.5923399925000004</v>
      </c>
      <c r="I2" s="1">
        <f>G2*H2</f>
        <v>0.26988632244570965</v>
      </c>
      <c r="J2">
        <f>I2-I33</f>
        <v>0.15418084714726488</v>
      </c>
      <c r="K2">
        <v>2.7952667877190596</v>
      </c>
      <c r="L2">
        <f>J2/K2</f>
        <v>5.5157828878679808E-2</v>
      </c>
    </row>
    <row r="3" spans="1:12" x14ac:dyDescent="0.3">
      <c r="A3">
        <v>2</v>
      </c>
      <c r="B3">
        <v>1.355999699999999E-2</v>
      </c>
      <c r="C3">
        <v>1.23E-2</v>
      </c>
      <c r="D3">
        <v>9.5099955000000069E-3</v>
      </c>
      <c r="E3">
        <v>1.1650000000000001E-2</v>
      </c>
      <c r="F3">
        <f t="shared" ref="F3:F33" si="0">B3+C3+E3</f>
        <v>3.7509996999999989E-2</v>
      </c>
      <c r="G3">
        <f>F3+D2+D3</f>
        <v>5.9569988499999976E-2</v>
      </c>
      <c r="H3">
        <v>5.5923399925000004</v>
      </c>
      <c r="I3">
        <f t="shared" ref="I3:I33" si="1">G3*H3</f>
        <v>0.333135629041315</v>
      </c>
      <c r="J3">
        <f>I3-I2</f>
        <v>6.3249306595605348E-2</v>
      </c>
      <c r="K3">
        <v>2.7952667877190596</v>
      </c>
      <c r="L3">
        <f t="shared" ref="L3:L33" si="2">J3/K3</f>
        <v>2.2627287983204222E-2</v>
      </c>
    </row>
    <row r="4" spans="1:12" x14ac:dyDescent="0.3">
      <c r="A4">
        <v>3</v>
      </c>
      <c r="B4">
        <v>1.8180000000000002E-2</v>
      </c>
      <c r="C4">
        <v>1.3459980000000038E-2</v>
      </c>
      <c r="D4">
        <v>3.2500030000000013E-3</v>
      </c>
      <c r="E4">
        <v>6.3999890000000503E-3</v>
      </c>
      <c r="F4">
        <f t="shared" si="0"/>
        <v>3.803996900000009E-2</v>
      </c>
      <c r="G4">
        <f t="shared" ref="G4:G33" si="3">F4+D3+D4</f>
        <v>5.0799967500000098E-2</v>
      </c>
      <c r="H4">
        <v>5.5923399925000004</v>
      </c>
      <c r="I4" s="1">
        <f t="shared" si="1"/>
        <v>0.28409068986795083</v>
      </c>
      <c r="J4">
        <f t="shared" ref="J4:J33" si="4">I4-I3</f>
        <v>-4.9044939173364166E-2</v>
      </c>
      <c r="K4">
        <v>2.7952667877190596</v>
      </c>
      <c r="L4">
        <f t="shared" si="2"/>
        <v>-1.7545709550459362E-2</v>
      </c>
    </row>
    <row r="5" spans="1:12" x14ac:dyDescent="0.3">
      <c r="A5">
        <v>4</v>
      </c>
      <c r="B5">
        <v>1.6669989000000052E-2</v>
      </c>
      <c r="C5">
        <v>1.008E-2</v>
      </c>
      <c r="D5">
        <v>-4.0900034999999807E-3</v>
      </c>
      <c r="E5">
        <v>-9.9998700000003549E-4</v>
      </c>
      <c r="F5">
        <f t="shared" si="0"/>
        <v>2.5750002000000015E-2</v>
      </c>
      <c r="G5">
        <f t="shared" si="3"/>
        <v>2.4910001500000035E-2</v>
      </c>
      <c r="H5">
        <v>5.5923399925000004</v>
      </c>
      <c r="I5">
        <f t="shared" si="1"/>
        <v>0.13930519760168519</v>
      </c>
      <c r="J5">
        <f t="shared" si="4"/>
        <v>-0.14478549226626564</v>
      </c>
      <c r="K5">
        <v>2.7952667877190596</v>
      </c>
      <c r="L5">
        <f t="shared" si="2"/>
        <v>-5.1796663167314606E-2</v>
      </c>
    </row>
    <row r="6" spans="1:12" x14ac:dyDescent="0.3">
      <c r="A6">
        <v>5</v>
      </c>
      <c r="B6">
        <v>9.5399999999999999E-3</v>
      </c>
      <c r="C6">
        <v>3.3000109999999916E-3</v>
      </c>
      <c r="D6">
        <v>-1.0060011999999979E-2</v>
      </c>
      <c r="E6">
        <v>-8.0699920000000258E-3</v>
      </c>
      <c r="F6">
        <f t="shared" si="0"/>
        <v>4.7700189999999656E-3</v>
      </c>
      <c r="G6">
        <f t="shared" si="3"/>
        <v>-9.3799964999999944E-3</v>
      </c>
      <c r="H6">
        <v>5.5923399925000004</v>
      </c>
      <c r="I6" s="1">
        <f t="shared" si="1"/>
        <v>-5.245612955646E-2</v>
      </c>
      <c r="J6">
        <f t="shared" si="4"/>
        <v>-0.1917613271581452</v>
      </c>
      <c r="K6">
        <v>2.7952667877190596</v>
      </c>
      <c r="L6">
        <f t="shared" si="2"/>
        <v>-6.8602155615572785E-2</v>
      </c>
    </row>
    <row r="7" spans="1:12" x14ac:dyDescent="0.3">
      <c r="A7">
        <v>6</v>
      </c>
      <c r="B7">
        <v>-8.0001400000001555E-4</v>
      </c>
      <c r="C7">
        <v>-4.5899750000000239E-3</v>
      </c>
      <c r="D7">
        <v>-1.2639999000000013E-2</v>
      </c>
      <c r="E7">
        <v>-1.2419999000000015E-2</v>
      </c>
      <c r="F7">
        <f t="shared" si="0"/>
        <v>-1.7809988000000054E-2</v>
      </c>
      <c r="G7">
        <f t="shared" si="3"/>
        <v>-4.0509999000000046E-2</v>
      </c>
      <c r="H7">
        <v>5.5923399925000004</v>
      </c>
      <c r="I7">
        <f t="shared" si="1"/>
        <v>-0.22654568750383527</v>
      </c>
      <c r="J7">
        <f t="shared" si="4"/>
        <v>-0.17408955794737527</v>
      </c>
      <c r="K7">
        <v>2.7952667877190596</v>
      </c>
      <c r="L7">
        <f t="shared" si="2"/>
        <v>-6.2280122495725183E-2</v>
      </c>
    </row>
    <row r="8" spans="1:12" x14ac:dyDescent="0.3">
      <c r="A8">
        <v>7</v>
      </c>
      <c r="B8">
        <v>-1.0879992999999977E-2</v>
      </c>
      <c r="C8">
        <v>-1.0930001999999994E-2</v>
      </c>
      <c r="D8">
        <v>-1.0950028999999986E-2</v>
      </c>
      <c r="E8">
        <v>-1.2580007000000004E-2</v>
      </c>
      <c r="F8">
        <f t="shared" si="0"/>
        <v>-3.4390001999999975E-2</v>
      </c>
      <c r="G8">
        <f t="shared" si="3"/>
        <v>-5.7980029999999974E-2</v>
      </c>
      <c r="H8">
        <v>5.5923399925000004</v>
      </c>
      <c r="I8" s="1">
        <f t="shared" si="1"/>
        <v>-0.32424404053534966</v>
      </c>
      <c r="J8">
        <f t="shared" si="4"/>
        <v>-9.769835303151439E-2</v>
      </c>
      <c r="K8">
        <v>2.7952667877190596</v>
      </c>
      <c r="L8">
        <f t="shared" si="2"/>
        <v>-3.4951351856913927E-2</v>
      </c>
    </row>
    <row r="9" spans="1:12" x14ac:dyDescent="0.3">
      <c r="A9">
        <v>8</v>
      </c>
      <c r="B9">
        <v>-1.7280012000000011E-2</v>
      </c>
      <c r="C9">
        <v>-1.3589977999999947E-2</v>
      </c>
      <c r="D9">
        <v>-5.5800005000000152E-3</v>
      </c>
      <c r="E9">
        <v>-8.4999799999999626E-3</v>
      </c>
      <c r="F9">
        <f t="shared" si="0"/>
        <v>-3.9369969999999921E-2</v>
      </c>
      <c r="G9">
        <f t="shared" si="3"/>
        <v>-5.5899999499999922E-2</v>
      </c>
      <c r="H9">
        <v>5.5923399925000004</v>
      </c>
      <c r="I9">
        <f t="shared" si="1"/>
        <v>-0.31261180278457956</v>
      </c>
      <c r="J9">
        <f t="shared" si="4"/>
        <v>1.1632237750770102E-2</v>
      </c>
      <c r="K9">
        <v>2.7952667877190596</v>
      </c>
      <c r="L9">
        <f t="shared" si="2"/>
        <v>4.1614052017775452E-3</v>
      </c>
    </row>
    <row r="10" spans="1:12" x14ac:dyDescent="0.3">
      <c r="A10">
        <v>9</v>
      </c>
      <c r="B10">
        <v>-1.787000900000002E-2</v>
      </c>
      <c r="C10">
        <v>-1.166999299999999E-2</v>
      </c>
      <c r="D10">
        <v>1.6800169999999781E-3</v>
      </c>
      <c r="E10">
        <v>-1.5600029999999765E-3</v>
      </c>
      <c r="F10">
        <f t="shared" si="0"/>
        <v>-3.1100004999999986E-2</v>
      </c>
      <c r="G10">
        <f t="shared" si="3"/>
        <v>-3.4999988500000023E-2</v>
      </c>
      <c r="H10">
        <v>5.5923399925000004</v>
      </c>
      <c r="I10" s="1">
        <f t="shared" si="1"/>
        <v>-0.19573183542559022</v>
      </c>
      <c r="J10">
        <f t="shared" si="4"/>
        <v>0.11687996735898934</v>
      </c>
      <c r="K10">
        <v>2.7952667877190596</v>
      </c>
      <c r="L10">
        <f t="shared" si="2"/>
        <v>4.181352845191693E-2</v>
      </c>
    </row>
    <row r="11" spans="1:12" x14ac:dyDescent="0.3">
      <c r="A11">
        <v>10</v>
      </c>
      <c r="B11">
        <v>-1.243001199999999E-2</v>
      </c>
      <c r="C11">
        <v>-5.8100220000000258E-3</v>
      </c>
      <c r="D11">
        <v>8.3699970000000179E-3</v>
      </c>
      <c r="E11">
        <v>5.9100000000000003E-3</v>
      </c>
      <c r="F11">
        <f t="shared" si="0"/>
        <v>-1.2330034000000016E-2</v>
      </c>
      <c r="G11">
        <f t="shared" si="3"/>
        <v>-2.2800200000000197E-3</v>
      </c>
      <c r="H11">
        <v>5.5923399925000004</v>
      </c>
      <c r="I11">
        <f t="shared" si="1"/>
        <v>-1.2750647029699962E-2</v>
      </c>
      <c r="J11">
        <f t="shared" si="4"/>
        <v>0.18298118839589025</v>
      </c>
      <c r="K11">
        <v>2.7952667877190596</v>
      </c>
      <c r="L11">
        <f t="shared" si="2"/>
        <v>6.5461081997544524E-2</v>
      </c>
    </row>
    <row r="12" spans="1:12" x14ac:dyDescent="0.3">
      <c r="A12">
        <v>11</v>
      </c>
      <c r="B12">
        <v>-2.799988000000031E-3</v>
      </c>
      <c r="C12">
        <v>1.99997399999996E-3</v>
      </c>
      <c r="D12">
        <v>1.2239993000000005E-2</v>
      </c>
      <c r="E12">
        <v>1.1389971000000054E-2</v>
      </c>
      <c r="F12">
        <f t="shared" si="0"/>
        <v>1.0589956999999983E-2</v>
      </c>
      <c r="G12">
        <f t="shared" si="3"/>
        <v>3.1199947000000006E-2</v>
      </c>
      <c r="H12">
        <v>5.5923399925000004</v>
      </c>
      <c r="I12" s="1">
        <f t="shared" si="1"/>
        <v>0.17448071137198043</v>
      </c>
      <c r="J12">
        <f t="shared" si="4"/>
        <v>0.1872313584016804</v>
      </c>
      <c r="K12">
        <v>2.7952667877190596</v>
      </c>
      <c r="L12">
        <f t="shared" si="2"/>
        <v>6.6981570140022789E-2</v>
      </c>
    </row>
    <row r="13" spans="1:12" x14ac:dyDescent="0.3">
      <c r="A13">
        <v>12</v>
      </c>
      <c r="B13">
        <v>7.7700019999999981E-3</v>
      </c>
      <c r="C13">
        <v>9.1400000000000006E-3</v>
      </c>
      <c r="D13">
        <v>1.1979996999999992E-2</v>
      </c>
      <c r="E13">
        <v>1.303E-2</v>
      </c>
      <c r="F13">
        <f t="shared" si="0"/>
        <v>2.9940002E-2</v>
      </c>
      <c r="G13">
        <f t="shared" si="3"/>
        <v>5.4159991999999997E-2</v>
      </c>
      <c r="H13">
        <v>5.5923399925000004</v>
      </c>
      <c r="I13">
        <f t="shared" si="1"/>
        <v>0.30288108925508006</v>
      </c>
      <c r="J13">
        <f t="shared" si="4"/>
        <v>0.12840037788309963</v>
      </c>
      <c r="K13">
        <v>2.7952667877190596</v>
      </c>
      <c r="L13">
        <f t="shared" si="2"/>
        <v>4.5934927731128831E-2</v>
      </c>
    </row>
    <row r="14" spans="1:12" x14ac:dyDescent="0.3">
      <c r="A14">
        <v>13</v>
      </c>
      <c r="B14">
        <v>1.5720000000000001E-2</v>
      </c>
      <c r="C14">
        <v>1.319998499999997E-2</v>
      </c>
      <c r="D14">
        <v>7.6900119999999961E-3</v>
      </c>
      <c r="E14">
        <v>1.0270000000000001E-2</v>
      </c>
      <c r="F14">
        <f t="shared" si="0"/>
        <v>3.9189984999999969E-2</v>
      </c>
      <c r="G14">
        <f t="shared" si="3"/>
        <v>5.8859993999999957E-2</v>
      </c>
      <c r="H14">
        <v>5.5923399925000004</v>
      </c>
      <c r="I14" s="1">
        <f t="shared" si="1"/>
        <v>0.3291650984045098</v>
      </c>
      <c r="J14">
        <f t="shared" si="4"/>
        <v>2.6284009149429743E-2</v>
      </c>
      <c r="K14">
        <v>2.7952667877190596</v>
      </c>
      <c r="L14">
        <f t="shared" si="2"/>
        <v>9.4030413357708582E-3</v>
      </c>
    </row>
    <row r="15" spans="1:12" x14ac:dyDescent="0.3">
      <c r="A15">
        <v>14</v>
      </c>
      <c r="B15">
        <v>1.8379986000000015E-2</v>
      </c>
      <c r="C15">
        <v>1.281E-2</v>
      </c>
      <c r="D15">
        <v>8.1001199999999884E-4</v>
      </c>
      <c r="E15">
        <v>4.0600000000000002E-3</v>
      </c>
      <c r="F15">
        <f t="shared" si="0"/>
        <v>3.5249986000000018E-2</v>
      </c>
      <c r="G15">
        <f t="shared" si="3"/>
        <v>4.3750010000000013E-2</v>
      </c>
      <c r="H15">
        <v>5.5923399925000004</v>
      </c>
      <c r="I15">
        <f t="shared" si="1"/>
        <v>0.244664930595275</v>
      </c>
      <c r="J15">
        <f t="shared" si="4"/>
        <v>-8.4500167809234805E-2</v>
      </c>
      <c r="K15">
        <v>2.7952667877190596</v>
      </c>
      <c r="L15">
        <f t="shared" si="2"/>
        <v>-3.0229732696887592E-2</v>
      </c>
    </row>
    <row r="16" spans="1:12" x14ac:dyDescent="0.3">
      <c r="A16">
        <v>15</v>
      </c>
      <c r="B16">
        <v>1.4829999999999999E-2</v>
      </c>
      <c r="C16">
        <v>8.0999729999999825E-3</v>
      </c>
      <c r="D16">
        <v>-6.3499809999999768E-3</v>
      </c>
      <c r="E16">
        <v>-3.5299959999999797E-3</v>
      </c>
      <c r="F16">
        <f t="shared" si="0"/>
        <v>1.9399977000000002E-2</v>
      </c>
      <c r="G16">
        <f t="shared" si="3"/>
        <v>1.3860008000000024E-2</v>
      </c>
      <c r="H16">
        <v>5.5923399925000004</v>
      </c>
      <c r="I16" s="1">
        <f t="shared" si="1"/>
        <v>7.7509877034770081E-2</v>
      </c>
      <c r="J16">
        <f t="shared" si="4"/>
        <v>-0.16715505356050492</v>
      </c>
      <c r="K16">
        <v>2.7952667877190596</v>
      </c>
      <c r="L16">
        <f t="shared" si="2"/>
        <v>-5.9799320156092725E-2</v>
      </c>
    </row>
    <row r="17" spans="1:12" x14ac:dyDescent="0.3">
      <c r="A17">
        <v>16</v>
      </c>
      <c r="B17">
        <v>6.2899589999999561E-3</v>
      </c>
      <c r="C17">
        <v>6.6E-4</v>
      </c>
      <c r="D17">
        <v>-1.1370003000000004E-2</v>
      </c>
      <c r="E17">
        <v>-9.9200010000000116E-3</v>
      </c>
      <c r="F17">
        <f t="shared" si="0"/>
        <v>-2.9700420000000555E-3</v>
      </c>
      <c r="G17">
        <f t="shared" si="3"/>
        <v>-2.0690026000000035E-2</v>
      </c>
      <c r="H17">
        <v>5.5923399925000004</v>
      </c>
      <c r="I17">
        <f t="shared" si="1"/>
        <v>-0.11570565984566501</v>
      </c>
      <c r="J17">
        <f t="shared" si="4"/>
        <v>-0.19321553688043508</v>
      </c>
      <c r="K17">
        <v>2.7952667877190596</v>
      </c>
      <c r="L17">
        <f t="shared" si="2"/>
        <v>-6.912239566159592E-2</v>
      </c>
    </row>
    <row r="18" spans="1:12" x14ac:dyDescent="0.3">
      <c r="A18">
        <v>17</v>
      </c>
      <c r="B18">
        <v>-4.3699740000000542E-3</v>
      </c>
      <c r="C18">
        <v>-7.0000290000000187E-3</v>
      </c>
      <c r="D18">
        <v>-1.254999599999998E-2</v>
      </c>
      <c r="E18">
        <v>-1.2969971000000025E-2</v>
      </c>
      <c r="F18">
        <f t="shared" si="0"/>
        <v>-2.4339974000000097E-2</v>
      </c>
      <c r="G18">
        <f t="shared" si="3"/>
        <v>-4.8259973000000081E-2</v>
      </c>
      <c r="H18">
        <v>5.5923399925000004</v>
      </c>
      <c r="I18" s="1">
        <f t="shared" si="1"/>
        <v>-0.26988617704487067</v>
      </c>
      <c r="J18">
        <f t="shared" si="4"/>
        <v>-0.15418051719920567</v>
      </c>
      <c r="K18">
        <v>2.7952667877190596</v>
      </c>
      <c r="L18">
        <f t="shared" si="2"/>
        <v>-5.5157710840551689E-2</v>
      </c>
    </row>
    <row r="19" spans="1:12" x14ac:dyDescent="0.3">
      <c r="A19">
        <v>18</v>
      </c>
      <c r="B19">
        <v>-1.355999699999999E-2</v>
      </c>
      <c r="C19">
        <v>-1.2300014000000026E-2</v>
      </c>
      <c r="D19">
        <v>-9.5100179999999951E-3</v>
      </c>
      <c r="E19">
        <v>-1.165002599999998E-2</v>
      </c>
      <c r="F19">
        <f t="shared" si="0"/>
        <v>-3.7510036999999996E-2</v>
      </c>
      <c r="G19">
        <f t="shared" si="3"/>
        <v>-5.9570050999999971E-2</v>
      </c>
      <c r="H19">
        <v>5.5923399925000004</v>
      </c>
      <c r="I19">
        <f t="shared" si="1"/>
        <v>-0.33313597856256449</v>
      </c>
      <c r="J19">
        <f t="shared" si="4"/>
        <v>-6.3249801517693827E-2</v>
      </c>
      <c r="K19">
        <v>2.7952667877190596</v>
      </c>
      <c r="L19">
        <f t="shared" si="2"/>
        <v>-2.2627465040396279E-2</v>
      </c>
    </row>
    <row r="20" spans="1:12" x14ac:dyDescent="0.3">
      <c r="A20">
        <v>19</v>
      </c>
      <c r="B20">
        <v>-1.818001300000005E-2</v>
      </c>
      <c r="C20">
        <v>-1.3459979999999983E-2</v>
      </c>
      <c r="D20">
        <v>-3.2500030000000013E-3</v>
      </c>
      <c r="E20">
        <v>-6.3999889999999948E-3</v>
      </c>
      <c r="F20">
        <f t="shared" si="0"/>
        <v>-3.8039982000000028E-2</v>
      </c>
      <c r="G20">
        <f t="shared" si="3"/>
        <v>-5.0800003000000024E-2</v>
      </c>
      <c r="H20">
        <v>5.5923399925000004</v>
      </c>
      <c r="I20" s="1">
        <f t="shared" si="1"/>
        <v>-0.28409088839602015</v>
      </c>
      <c r="J20">
        <f t="shared" si="4"/>
        <v>4.9045090166544347E-2</v>
      </c>
      <c r="K20">
        <v>2.7952667877190596</v>
      </c>
      <c r="L20">
        <f t="shared" si="2"/>
        <v>1.7545763567908018E-2</v>
      </c>
    </row>
    <row r="21" spans="1:12" x14ac:dyDescent="0.3">
      <c r="A21">
        <v>20</v>
      </c>
      <c r="B21">
        <v>-1.6669988999999996E-2</v>
      </c>
      <c r="C21">
        <v>-1.0079979999999988E-2</v>
      </c>
      <c r="D21">
        <v>4.0900109999999767E-3</v>
      </c>
      <c r="E21">
        <v>1E-3</v>
      </c>
      <c r="F21">
        <f t="shared" si="0"/>
        <v>-2.5749968999999984E-2</v>
      </c>
      <c r="G21">
        <f t="shared" si="3"/>
        <v>-2.4909961000000008E-2</v>
      </c>
      <c r="H21">
        <v>5.5923399925000004</v>
      </c>
      <c r="I21">
        <f t="shared" si="1"/>
        <v>-0.13930497111191534</v>
      </c>
      <c r="J21">
        <f t="shared" si="4"/>
        <v>0.14478591728410481</v>
      </c>
      <c r="K21">
        <v>2.7952667877190596</v>
      </c>
      <c r="L21">
        <f t="shared" si="2"/>
        <v>5.1796815216428864E-2</v>
      </c>
    </row>
    <row r="22" spans="1:12" x14ac:dyDescent="0.3">
      <c r="A22">
        <v>21</v>
      </c>
      <c r="B22">
        <v>-9.5400209999999541E-3</v>
      </c>
      <c r="C22">
        <v>-3.3000109999999916E-3</v>
      </c>
      <c r="D22">
        <v>1.0060011999999979E-2</v>
      </c>
      <c r="E22">
        <v>8.0699920000000258E-3</v>
      </c>
      <c r="F22">
        <f t="shared" si="0"/>
        <v>-4.7700399999999199E-3</v>
      </c>
      <c r="G22">
        <f t="shared" si="3"/>
        <v>9.3799830000000362E-3</v>
      </c>
      <c r="H22">
        <v>5.5923399925000004</v>
      </c>
      <c r="I22" s="1">
        <f t="shared" si="1"/>
        <v>5.2456054059870333E-2</v>
      </c>
      <c r="J22">
        <f t="shared" si="4"/>
        <v>0.19176102517178567</v>
      </c>
      <c r="K22">
        <v>2.7952667877190596</v>
      </c>
      <c r="L22">
        <f t="shared" si="2"/>
        <v>6.8602047580675785E-2</v>
      </c>
    </row>
    <row r="23" spans="1:12" x14ac:dyDescent="0.3">
      <c r="A23">
        <v>22</v>
      </c>
      <c r="B23">
        <v>8.0001399999996003E-4</v>
      </c>
      <c r="C23">
        <v>4.5900000000000003E-3</v>
      </c>
      <c r="D23">
        <v>1.2639999000000013E-2</v>
      </c>
      <c r="E23">
        <v>1.242E-2</v>
      </c>
      <c r="F23">
        <f t="shared" si="0"/>
        <v>1.7810013999999961E-2</v>
      </c>
      <c r="G23">
        <f t="shared" si="3"/>
        <v>4.051002499999995E-2</v>
      </c>
      <c r="H23">
        <v>5.5923399925000004</v>
      </c>
      <c r="I23">
        <f t="shared" si="1"/>
        <v>0.22654583290467453</v>
      </c>
      <c r="J23">
        <f t="shared" si="4"/>
        <v>0.1740897788448042</v>
      </c>
      <c r="K23">
        <v>2.7952667877190596</v>
      </c>
      <c r="L23">
        <f t="shared" si="2"/>
        <v>6.2280201521251438E-2</v>
      </c>
    </row>
    <row r="24" spans="1:12" x14ac:dyDescent="0.3">
      <c r="A24">
        <v>23</v>
      </c>
      <c r="B24">
        <v>1.0880000000000001E-2</v>
      </c>
      <c r="C24">
        <v>1.093000200000005E-2</v>
      </c>
      <c r="D24">
        <v>1.0950028999999972E-2</v>
      </c>
      <c r="E24">
        <v>1.2580036999999988E-2</v>
      </c>
      <c r="F24">
        <f t="shared" si="0"/>
        <v>3.4390039000000039E-2</v>
      </c>
      <c r="G24">
        <f t="shared" si="3"/>
        <v>5.7980067000000024E-2</v>
      </c>
      <c r="H24">
        <v>5.5923399925000004</v>
      </c>
      <c r="I24" s="1">
        <f t="shared" si="1"/>
        <v>0.32424424745192965</v>
      </c>
      <c r="J24">
        <f t="shared" si="4"/>
        <v>9.7698414547255114E-2</v>
      </c>
      <c r="K24">
        <v>2.7952667877190596</v>
      </c>
      <c r="L24">
        <f t="shared" si="2"/>
        <v>3.4951373864022875E-2</v>
      </c>
    </row>
    <row r="25" spans="1:12" x14ac:dyDescent="0.3">
      <c r="A25">
        <v>24</v>
      </c>
      <c r="B25">
        <v>1.7279982999999999E-2</v>
      </c>
      <c r="C25">
        <v>1.359E-2</v>
      </c>
      <c r="D25">
        <v>5.5800080000000252E-3</v>
      </c>
      <c r="E25">
        <v>8.5000000000000006E-3</v>
      </c>
      <c r="F25">
        <f t="shared" si="0"/>
        <v>3.9369982999999997E-2</v>
      </c>
      <c r="G25">
        <f t="shared" si="3"/>
        <v>5.5900019999999995E-2</v>
      </c>
      <c r="H25">
        <v>5.5923399925000004</v>
      </c>
      <c r="I25">
        <f t="shared" si="1"/>
        <v>0.31261191742754985</v>
      </c>
      <c r="J25">
        <f t="shared" si="4"/>
        <v>-1.16323300243798E-2</v>
      </c>
      <c r="K25">
        <v>2.7952667877190596</v>
      </c>
      <c r="L25">
        <f t="shared" si="2"/>
        <v>-4.1614382124404636E-3</v>
      </c>
    </row>
    <row r="26" spans="1:12" x14ac:dyDescent="0.3">
      <c r="A26">
        <v>25</v>
      </c>
      <c r="B26">
        <v>1.787E-2</v>
      </c>
      <c r="C26">
        <v>1.1669993000000045E-2</v>
      </c>
      <c r="D26">
        <v>-1.680016999999992E-3</v>
      </c>
      <c r="E26">
        <v>1.5599729999999923E-3</v>
      </c>
      <c r="F26">
        <f t="shared" si="0"/>
        <v>3.1099966000000038E-2</v>
      </c>
      <c r="G26">
        <f t="shared" si="3"/>
        <v>3.4999957000000068E-2</v>
      </c>
      <c r="H26">
        <v>5.5923399925000004</v>
      </c>
      <c r="I26" s="1">
        <f t="shared" si="1"/>
        <v>0.19573165926688071</v>
      </c>
      <c r="J26">
        <f t="shared" si="4"/>
        <v>-0.11688025816066913</v>
      </c>
      <c r="K26">
        <v>2.7952667877190596</v>
      </c>
      <c r="L26">
        <f t="shared" si="2"/>
        <v>-4.181363248552155E-2</v>
      </c>
    </row>
    <row r="27" spans="1:12" x14ac:dyDescent="0.3">
      <c r="A27">
        <v>26</v>
      </c>
      <c r="B27">
        <v>1.2430012000000046E-2</v>
      </c>
      <c r="C27">
        <v>5.8100000000000001E-3</v>
      </c>
      <c r="D27">
        <v>-8.3700195000000061E-3</v>
      </c>
      <c r="E27">
        <v>-5.9099790000000096E-3</v>
      </c>
      <c r="F27">
        <f t="shared" si="0"/>
        <v>1.2330033000000035E-2</v>
      </c>
      <c r="G27">
        <f t="shared" si="3"/>
        <v>2.2799965000000373E-3</v>
      </c>
      <c r="H27">
        <v>5.5923399925000004</v>
      </c>
      <c r="I27">
        <f t="shared" si="1"/>
        <v>1.2750515609710236E-2</v>
      </c>
      <c r="J27">
        <f t="shared" si="4"/>
        <v>-0.18298114365717047</v>
      </c>
      <c r="K27">
        <v>2.7952667877190596</v>
      </c>
      <c r="L27">
        <f t="shared" si="2"/>
        <v>-6.5461065992374654E-2</v>
      </c>
    </row>
    <row r="28" spans="1:12" x14ac:dyDescent="0.3">
      <c r="A28">
        <v>27</v>
      </c>
      <c r="B28">
        <v>2.8E-3</v>
      </c>
      <c r="C28">
        <v>-1.9999740000000155E-3</v>
      </c>
      <c r="D28">
        <v>-1.2239993000000005E-2</v>
      </c>
      <c r="E28">
        <v>-1.1389970999999999E-2</v>
      </c>
      <c r="F28">
        <f t="shared" si="0"/>
        <v>-1.0589945000000014E-2</v>
      </c>
      <c r="G28">
        <f t="shared" si="3"/>
        <v>-3.1199957500000024E-2</v>
      </c>
      <c r="H28">
        <v>5.5923399925000004</v>
      </c>
      <c r="I28" s="1">
        <f t="shared" si="1"/>
        <v>-0.17448077009155047</v>
      </c>
      <c r="J28">
        <f t="shared" si="4"/>
        <v>-0.18723128570126071</v>
      </c>
      <c r="K28">
        <v>2.7952667877190596</v>
      </c>
      <c r="L28">
        <f t="shared" si="2"/>
        <v>-6.6981544131621731E-2</v>
      </c>
    </row>
    <row r="29" spans="1:12" x14ac:dyDescent="0.3">
      <c r="A29">
        <v>28</v>
      </c>
      <c r="B29">
        <v>-7.7700019999999981E-3</v>
      </c>
      <c r="C29">
        <v>-9.1400149999999458E-3</v>
      </c>
      <c r="D29">
        <v>-1.1979996999999978E-2</v>
      </c>
      <c r="E29">
        <v>-1.3029992999999962E-2</v>
      </c>
      <c r="F29">
        <f t="shared" si="0"/>
        <v>-2.9940009999999906E-2</v>
      </c>
      <c r="G29">
        <f t="shared" si="3"/>
        <v>-5.4159999999999889E-2</v>
      </c>
      <c r="H29">
        <v>5.5923399925000004</v>
      </c>
      <c r="I29">
        <f t="shared" si="1"/>
        <v>-0.3028811339937994</v>
      </c>
      <c r="J29">
        <f t="shared" si="4"/>
        <v>-0.12840036390224893</v>
      </c>
      <c r="K29">
        <v>2.7952667877190596</v>
      </c>
      <c r="L29">
        <f t="shared" si="2"/>
        <v>-4.5934922729512967E-2</v>
      </c>
    </row>
    <row r="30" spans="1:12" x14ac:dyDescent="0.3">
      <c r="A30">
        <v>29</v>
      </c>
      <c r="B30">
        <v>-1.5720010000000006E-2</v>
      </c>
      <c r="C30">
        <v>-1.3199985000000025E-2</v>
      </c>
      <c r="D30">
        <v>-7.6900119999999822E-3</v>
      </c>
      <c r="E30">
        <v>-1.0270000000000001E-2</v>
      </c>
      <c r="F30">
        <f t="shared" si="0"/>
        <v>-3.9189995000000033E-2</v>
      </c>
      <c r="G30">
        <f t="shared" si="3"/>
        <v>-5.8860003999999994E-2</v>
      </c>
      <c r="H30">
        <v>5.5923399925000004</v>
      </c>
      <c r="I30" s="1">
        <f t="shared" si="1"/>
        <v>-0.32916515432790994</v>
      </c>
      <c r="J30">
        <f t="shared" si="4"/>
        <v>-2.6284020334110536E-2</v>
      </c>
      <c r="K30">
        <v>2.7952667877190596</v>
      </c>
      <c r="L30">
        <f t="shared" si="2"/>
        <v>-9.403045337063631E-3</v>
      </c>
    </row>
    <row r="31" spans="1:12" x14ac:dyDescent="0.3">
      <c r="A31">
        <v>30</v>
      </c>
      <c r="B31">
        <v>-1.8379986000000015E-2</v>
      </c>
      <c r="C31">
        <v>-1.2809991999999992E-2</v>
      </c>
      <c r="D31">
        <v>-8.1001199999999884E-4</v>
      </c>
      <c r="E31">
        <v>-4.0600299999999923E-3</v>
      </c>
      <c r="F31">
        <f t="shared" si="0"/>
        <v>-3.5250007999999999E-2</v>
      </c>
      <c r="G31">
        <f t="shared" si="3"/>
        <v>-4.375003199999998E-2</v>
      </c>
      <c r="H31">
        <v>5.5923399925000004</v>
      </c>
      <c r="I31">
        <f t="shared" si="1"/>
        <v>-0.24466505362675467</v>
      </c>
      <c r="J31">
        <f t="shared" si="4"/>
        <v>8.4500100701155267E-2</v>
      </c>
      <c r="K31">
        <v>2.7952667877190596</v>
      </c>
      <c r="L31">
        <f t="shared" si="2"/>
        <v>3.0229708689132828E-2</v>
      </c>
    </row>
    <row r="32" spans="1:12" x14ac:dyDescent="0.3">
      <c r="A32">
        <v>31</v>
      </c>
      <c r="B32">
        <v>-1.4829992999999986E-2</v>
      </c>
      <c r="C32">
        <v>-8.0999729999999825E-3</v>
      </c>
      <c r="D32">
        <v>6.3499809999999768E-3</v>
      </c>
      <c r="E32">
        <v>3.5300249999999922E-3</v>
      </c>
      <c r="F32">
        <f t="shared" si="0"/>
        <v>-1.9399940999999976E-2</v>
      </c>
      <c r="G32">
        <f t="shared" si="3"/>
        <v>-1.3859971999999998E-2</v>
      </c>
      <c r="H32">
        <v>5.5923399925000004</v>
      </c>
      <c r="I32" s="1">
        <f t="shared" si="1"/>
        <v>-7.7509675710530204E-2</v>
      </c>
      <c r="J32">
        <f t="shared" si="4"/>
        <v>0.16715537791622448</v>
      </c>
      <c r="K32">
        <v>2.7952667877190596</v>
      </c>
      <c r="L32">
        <f t="shared" si="2"/>
        <v>5.9799436193574723E-2</v>
      </c>
    </row>
    <row r="33" spans="1:12" x14ac:dyDescent="0.3">
      <c r="A33">
        <v>32</v>
      </c>
      <c r="B33">
        <v>-6.2899889999999958E-3</v>
      </c>
      <c r="C33">
        <v>-6.6000200000004838E-4</v>
      </c>
      <c r="D33">
        <v>1.1370003000000017E-2</v>
      </c>
      <c r="E33">
        <v>9.92E-3</v>
      </c>
      <c r="F33">
        <f t="shared" si="0"/>
        <v>2.9700089999999558E-3</v>
      </c>
      <c r="G33">
        <f t="shared" si="3"/>
        <v>2.0689992999999948E-2</v>
      </c>
      <c r="H33">
        <v>5.5923399925000004</v>
      </c>
      <c r="I33">
        <f t="shared" si="1"/>
        <v>0.11570547529844477</v>
      </c>
      <c r="J33">
        <f t="shared" si="4"/>
        <v>0.19321515100897496</v>
      </c>
      <c r="K33">
        <v>2.7952667877190596</v>
      </c>
      <c r="L33">
        <f t="shared" si="2"/>
        <v>6.9122257617005037E-2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C9F64-35E0-47DD-989D-453FED753EE9}">
  <dimension ref="B1:R33"/>
  <sheetViews>
    <sheetView tabSelected="1" topLeftCell="A10" zoomScale="85" zoomScaleNormal="85" workbookViewId="0">
      <selection activeCell="R2" sqref="R2:R33"/>
    </sheetView>
  </sheetViews>
  <sheetFormatPr defaultRowHeight="14" x14ac:dyDescent="0.3"/>
  <sheetData>
    <row r="1" spans="2:18" x14ac:dyDescent="0.3">
      <c r="B1" t="s">
        <v>0</v>
      </c>
      <c r="C1" t="s">
        <v>1</v>
      </c>
      <c r="D1" t="s">
        <v>2</v>
      </c>
      <c r="E1" t="s">
        <v>3</v>
      </c>
    </row>
    <row r="2" spans="2:18" x14ac:dyDescent="0.3">
      <c r="B2">
        <v>4.3699999999999998E-3</v>
      </c>
      <c r="C2">
        <v>7.0000289999999632E-3</v>
      </c>
      <c r="D2">
        <v>1.254999599999998E-2</v>
      </c>
      <c r="E2">
        <v>1.2969970999999969E-2</v>
      </c>
      <c r="F2" s="1">
        <v>3.8379400000000001</v>
      </c>
      <c r="G2" s="1">
        <v>6.7478899999999999</v>
      </c>
      <c r="H2" s="1">
        <v>-4.17157</v>
      </c>
      <c r="I2" s="1">
        <v>-2.2427100000000002</v>
      </c>
      <c r="J2">
        <f>B2*F2</f>
        <v>1.6771797799999998E-2</v>
      </c>
      <c r="K2">
        <f t="shared" ref="K2:M17" si="0">C2*G2</f>
        <v>4.723542568880975E-2</v>
      </c>
      <c r="L2" s="2">
        <f t="shared" si="0"/>
        <v>-5.2353186813719914E-2</v>
      </c>
      <c r="M2">
        <f>E2*I2</f>
        <v>-2.9087883661409932E-2</v>
      </c>
      <c r="N2">
        <f>J2+K2+M2</f>
        <v>3.4919339827399809E-2</v>
      </c>
      <c r="O2">
        <f>N2+L2+L33</f>
        <v>-6.4864610401030171E-2</v>
      </c>
      <c r="P2">
        <v>5.5923399925000004</v>
      </c>
      <c r="Q2">
        <v>61.229218359897359</v>
      </c>
      <c r="R2">
        <f>O2*P2*1602/Q2</f>
        <v>-9.490851479496845</v>
      </c>
    </row>
    <row r="3" spans="2:18" x14ac:dyDescent="0.3">
      <c r="B3">
        <v>1.355999699999999E-2</v>
      </c>
      <c r="C3">
        <v>1.23E-2</v>
      </c>
      <c r="D3">
        <v>9.5099955000000069E-3</v>
      </c>
      <c r="E3">
        <v>1.1650000000000001E-2</v>
      </c>
      <c r="F3" s="1">
        <v>3.8379400000000001</v>
      </c>
      <c r="G3" s="1">
        <v>6.7478899999999999</v>
      </c>
      <c r="H3" s="1">
        <v>-4.17157</v>
      </c>
      <c r="I3" s="1">
        <v>-2.2427100000000002</v>
      </c>
      <c r="J3">
        <f t="shared" ref="J3:M18" si="1">B3*F3</f>
        <v>5.2042454886179965E-2</v>
      </c>
      <c r="K3">
        <f t="shared" si="0"/>
        <v>8.2999047000000006E-2</v>
      </c>
      <c r="L3" s="2">
        <f t="shared" si="0"/>
        <v>-3.967161192793503E-2</v>
      </c>
      <c r="M3">
        <f t="shared" si="0"/>
        <v>-2.6127571500000005E-2</v>
      </c>
      <c r="N3">
        <f t="shared" ref="N3:N33" si="2">J3+K3+M3</f>
        <v>0.10891393038617997</v>
      </c>
      <c r="O3">
        <f>N3+L2+L3</f>
        <v>1.6889131644525025E-2</v>
      </c>
      <c r="P3">
        <v>5.5923399925000004</v>
      </c>
      <c r="Q3">
        <v>61.229218359897359</v>
      </c>
      <c r="R3">
        <f t="shared" ref="R3:R33" si="3">O3*P3*1602/Q3</f>
        <v>2.4711817286011413</v>
      </c>
    </row>
    <row r="4" spans="2:18" x14ac:dyDescent="0.3">
      <c r="B4">
        <v>1.8180000000000002E-2</v>
      </c>
      <c r="C4">
        <v>1.3459980000000038E-2</v>
      </c>
      <c r="D4">
        <v>3.2500030000000013E-3</v>
      </c>
      <c r="E4">
        <v>6.3999890000000503E-3</v>
      </c>
      <c r="F4" s="1">
        <v>3.8379400000000001</v>
      </c>
      <c r="G4" s="1">
        <v>6.7478899999999999</v>
      </c>
      <c r="H4" s="1">
        <v>-4.17157</v>
      </c>
      <c r="I4" s="1">
        <v>-2.2427100000000002</v>
      </c>
      <c r="J4">
        <f t="shared" si="1"/>
        <v>6.9773749200000013E-2</v>
      </c>
      <c r="K4">
        <f t="shared" si="0"/>
        <v>9.0826464442200258E-2</v>
      </c>
      <c r="L4" s="2">
        <f t="shared" si="0"/>
        <v>-1.3557615014710006E-2</v>
      </c>
      <c r="M4">
        <f t="shared" si="0"/>
        <v>-1.4353319330190115E-2</v>
      </c>
      <c r="N4">
        <f t="shared" si="2"/>
        <v>0.14624689431201016</v>
      </c>
      <c r="O4">
        <f t="shared" ref="O4:O33" si="4">N4+L3+L4</f>
        <v>9.301766736936512E-2</v>
      </c>
      <c r="P4">
        <v>5.5923399925000004</v>
      </c>
      <c r="Q4">
        <v>61.229218359897359</v>
      </c>
      <c r="R4">
        <f t="shared" si="3"/>
        <v>13.610146742789404</v>
      </c>
    </row>
    <row r="5" spans="2:18" x14ac:dyDescent="0.3">
      <c r="B5">
        <v>1.6669989000000052E-2</v>
      </c>
      <c r="C5">
        <v>1.008E-2</v>
      </c>
      <c r="D5">
        <v>-4.0900034999999807E-3</v>
      </c>
      <c r="E5">
        <v>-9.9998700000003549E-4</v>
      </c>
      <c r="F5" s="1">
        <v>3.8379400000000001</v>
      </c>
      <c r="G5" s="1">
        <v>6.7478899999999999</v>
      </c>
      <c r="H5" s="1">
        <v>-4.17157</v>
      </c>
      <c r="I5" s="1">
        <v>-2.2427100000000002</v>
      </c>
      <c r="J5">
        <f t="shared" si="1"/>
        <v>6.3978417582660194E-2</v>
      </c>
      <c r="K5">
        <f t="shared" si="0"/>
        <v>6.8018731200000002E-2</v>
      </c>
      <c r="L5" s="2">
        <f t="shared" si="0"/>
        <v>1.706173590049492E-2</v>
      </c>
      <c r="M5">
        <f t="shared" si="0"/>
        <v>2.2426808447700798E-3</v>
      </c>
      <c r="N5">
        <f t="shared" si="2"/>
        <v>0.13423982962743028</v>
      </c>
      <c r="O5">
        <f t="shared" si="4"/>
        <v>0.1377439505132152</v>
      </c>
      <c r="P5">
        <v>5.5923399925000004</v>
      </c>
      <c r="Q5">
        <v>61.229218359897359</v>
      </c>
      <c r="R5">
        <f t="shared" si="3"/>
        <v>20.154401120080209</v>
      </c>
    </row>
    <row r="6" spans="2:18" x14ac:dyDescent="0.3">
      <c r="B6">
        <v>9.5399999999999999E-3</v>
      </c>
      <c r="C6">
        <v>3.3000109999999916E-3</v>
      </c>
      <c r="D6">
        <v>-1.0060011999999979E-2</v>
      </c>
      <c r="E6">
        <v>-8.0699920000000258E-3</v>
      </c>
      <c r="F6" s="1">
        <v>3.8379400000000001</v>
      </c>
      <c r="G6" s="1">
        <v>6.7478899999999999</v>
      </c>
      <c r="H6" s="1">
        <v>-4.17157</v>
      </c>
      <c r="I6" s="1">
        <v>-2.2427100000000002</v>
      </c>
      <c r="J6">
        <f t="shared" si="1"/>
        <v>3.6613947600000002E-2</v>
      </c>
      <c r="K6">
        <f t="shared" si="0"/>
        <v>2.2268111226789945E-2</v>
      </c>
      <c r="L6" s="2">
        <f t="shared" si="0"/>
        <v>4.1966044258839916E-2</v>
      </c>
      <c r="M6">
        <f t="shared" si="0"/>
        <v>1.809865175832006E-2</v>
      </c>
      <c r="N6">
        <f t="shared" si="2"/>
        <v>7.6980710585109996E-2</v>
      </c>
      <c r="O6">
        <f t="shared" si="4"/>
        <v>0.13600849074444482</v>
      </c>
      <c r="P6">
        <v>5.5923399925000004</v>
      </c>
      <c r="Q6">
        <v>61.229218359897359</v>
      </c>
      <c r="R6">
        <f t="shared" si="3"/>
        <v>19.900472347330187</v>
      </c>
    </row>
    <row r="7" spans="2:18" x14ac:dyDescent="0.3">
      <c r="B7">
        <v>-8.0001400000001555E-4</v>
      </c>
      <c r="C7">
        <v>-4.5899750000000239E-3</v>
      </c>
      <c r="D7">
        <v>-1.2639999000000013E-2</v>
      </c>
      <c r="E7">
        <v>-1.2419999000000015E-2</v>
      </c>
      <c r="F7" s="1">
        <v>3.8379400000000001</v>
      </c>
      <c r="G7" s="1">
        <v>6.7478899999999999</v>
      </c>
      <c r="H7" s="1">
        <v>-4.17157</v>
      </c>
      <c r="I7" s="1">
        <v>-2.2427100000000002</v>
      </c>
      <c r="J7">
        <f t="shared" si="1"/>
        <v>-3.0704057311600596E-3</v>
      </c>
      <c r="K7">
        <f t="shared" si="0"/>
        <v>-3.0972646402750163E-2</v>
      </c>
      <c r="L7" s="2">
        <f t="shared" si="0"/>
        <v>5.2728640628430051E-2</v>
      </c>
      <c r="M7">
        <f t="shared" si="0"/>
        <v>2.7854455957290036E-2</v>
      </c>
      <c r="N7">
        <f t="shared" si="2"/>
        <v>-6.1885961766201848E-3</v>
      </c>
      <c r="O7">
        <f t="shared" si="4"/>
        <v>8.8506088710649786E-2</v>
      </c>
      <c r="P7">
        <v>5.5923399925000004</v>
      </c>
      <c r="Q7">
        <v>61.229218359897402</v>
      </c>
      <c r="R7">
        <f t="shared" si="3"/>
        <v>12.950022173733865</v>
      </c>
    </row>
    <row r="8" spans="2:18" x14ac:dyDescent="0.3">
      <c r="B8">
        <v>-1.0879992999999977E-2</v>
      </c>
      <c r="C8">
        <v>-1.0930001999999994E-2</v>
      </c>
      <c r="D8">
        <v>-1.0950028999999986E-2</v>
      </c>
      <c r="E8">
        <v>-1.2580007000000004E-2</v>
      </c>
      <c r="F8" s="1">
        <v>3.8379400000000001</v>
      </c>
      <c r="G8" s="1">
        <v>6.7478899999999999</v>
      </c>
      <c r="H8" s="1">
        <v>-4.17157</v>
      </c>
      <c r="I8" s="1">
        <v>-2.2427100000000002</v>
      </c>
      <c r="J8">
        <f t="shared" si="1"/>
        <v>-4.1756760334419912E-2</v>
      </c>
      <c r="K8">
        <f t="shared" si="0"/>
        <v>-7.375445119577996E-2</v>
      </c>
      <c r="L8" s="2">
        <f t="shared" si="0"/>
        <v>4.5678812475529941E-2</v>
      </c>
      <c r="M8">
        <f t="shared" si="0"/>
        <v>2.8213307498970011E-2</v>
      </c>
      <c r="N8">
        <f t="shared" si="2"/>
        <v>-8.7297904031229862E-2</v>
      </c>
      <c r="O8">
        <f t="shared" si="4"/>
        <v>1.1109549072730131E-2</v>
      </c>
      <c r="P8">
        <v>5.5923399925000004</v>
      </c>
      <c r="Q8">
        <v>61.229218359897402</v>
      </c>
      <c r="R8">
        <f t="shared" si="3"/>
        <v>1.6255255308184033</v>
      </c>
    </row>
    <row r="9" spans="2:18" x14ac:dyDescent="0.3">
      <c r="B9">
        <v>-1.7280012000000011E-2</v>
      </c>
      <c r="C9">
        <v>-1.3589977999999947E-2</v>
      </c>
      <c r="D9">
        <v>-5.5800005000000152E-3</v>
      </c>
      <c r="E9">
        <v>-8.4999799999999626E-3</v>
      </c>
      <c r="F9" s="1">
        <v>3.8379400000000001</v>
      </c>
      <c r="G9" s="1">
        <v>6.7478899999999999</v>
      </c>
      <c r="H9" s="1">
        <v>-4.17157</v>
      </c>
      <c r="I9" s="1">
        <v>-2.2427100000000002</v>
      </c>
      <c r="J9">
        <f t="shared" si="1"/>
        <v>-6.6319649255280042E-2</v>
      </c>
      <c r="K9">
        <f t="shared" si="0"/>
        <v>-9.1703676646419638E-2</v>
      </c>
      <c r="L9" s="2">
        <f t="shared" si="0"/>
        <v>2.3277362685785064E-2</v>
      </c>
      <c r="M9">
        <f t="shared" si="0"/>
        <v>1.9062990145799919E-2</v>
      </c>
      <c r="N9">
        <f t="shared" si="2"/>
        <v>-0.13896033575589975</v>
      </c>
      <c r="O9">
        <f t="shared" si="4"/>
        <v>-7.0004160594584752E-2</v>
      </c>
      <c r="P9">
        <v>5.5923399925000004</v>
      </c>
      <c r="Q9">
        <v>61.229218359897402</v>
      </c>
      <c r="R9">
        <f t="shared" si="3"/>
        <v>-10.242859504471749</v>
      </c>
    </row>
    <row r="10" spans="2:18" x14ac:dyDescent="0.3">
      <c r="B10">
        <v>-1.787000900000002E-2</v>
      </c>
      <c r="C10">
        <v>-1.166999299999999E-2</v>
      </c>
      <c r="D10">
        <v>1.6800169999999781E-3</v>
      </c>
      <c r="E10">
        <v>-1.5600029999999765E-3</v>
      </c>
      <c r="F10" s="1">
        <v>3.8379400000000001</v>
      </c>
      <c r="G10" s="1">
        <v>6.7478899999999999</v>
      </c>
      <c r="H10" s="1">
        <v>-4.17157</v>
      </c>
      <c r="I10" s="1">
        <v>-2.2427100000000002</v>
      </c>
      <c r="J10">
        <f t="shared" si="1"/>
        <v>-6.8584022341460077E-2</v>
      </c>
      <c r="K10">
        <f t="shared" si="0"/>
        <v>-7.8747829064769931E-2</v>
      </c>
      <c r="L10" s="2">
        <f t="shared" si="0"/>
        <v>-7.0083085166899083E-3</v>
      </c>
      <c r="M10">
        <f t="shared" si="0"/>
        <v>3.4986343281299477E-3</v>
      </c>
      <c r="N10">
        <f t="shared" si="2"/>
        <v>-0.14383321707810007</v>
      </c>
      <c r="O10">
        <f t="shared" si="4"/>
        <v>-0.12756416290900491</v>
      </c>
      <c r="P10">
        <v>5.5923399925000004</v>
      </c>
      <c r="Q10">
        <v>61.229218359897402</v>
      </c>
      <c r="R10">
        <f t="shared" si="3"/>
        <v>-18.664916304754016</v>
      </c>
    </row>
    <row r="11" spans="2:18" x14ac:dyDescent="0.3">
      <c r="B11">
        <v>-1.243001199999999E-2</v>
      </c>
      <c r="C11">
        <v>-5.8100220000000258E-3</v>
      </c>
      <c r="D11">
        <v>8.3699970000000179E-3</v>
      </c>
      <c r="E11">
        <v>5.9100000000000003E-3</v>
      </c>
      <c r="F11" s="1">
        <v>3.8379400000000001</v>
      </c>
      <c r="G11" s="1">
        <v>6.7478899999999999</v>
      </c>
      <c r="H11" s="1">
        <v>-4.17157</v>
      </c>
      <c r="I11" s="1">
        <v>-2.2427100000000002</v>
      </c>
      <c r="J11">
        <f t="shared" si="1"/>
        <v>-4.7705640255279964E-2</v>
      </c>
      <c r="K11">
        <f t="shared" si="0"/>
        <v>-3.9205389353580172E-2</v>
      </c>
      <c r="L11" s="2">
        <f t="shared" si="0"/>
        <v>-3.4916028385290072E-2</v>
      </c>
      <c r="M11">
        <f t="shared" si="0"/>
        <v>-1.3254416100000001E-2</v>
      </c>
      <c r="N11">
        <f t="shared" si="2"/>
        <v>-0.10016544570886013</v>
      </c>
      <c r="O11">
        <f t="shared" si="4"/>
        <v>-0.1420897826108401</v>
      </c>
      <c r="P11">
        <v>5.5923399925000004</v>
      </c>
      <c r="Q11">
        <v>61.229218359897402</v>
      </c>
      <c r="R11">
        <f t="shared" si="3"/>
        <v>-20.790274005747492</v>
      </c>
    </row>
    <row r="12" spans="2:18" x14ac:dyDescent="0.3">
      <c r="B12">
        <v>-2.799988000000031E-3</v>
      </c>
      <c r="C12">
        <v>1.99997399999996E-3</v>
      </c>
      <c r="D12">
        <v>1.2239993000000005E-2</v>
      </c>
      <c r="E12">
        <v>1.1389971000000054E-2</v>
      </c>
      <c r="F12" s="1">
        <v>3.8379400000000001</v>
      </c>
      <c r="G12" s="1">
        <v>6.7478899999999999</v>
      </c>
      <c r="H12" s="1">
        <v>-4.17157</v>
      </c>
      <c r="I12" s="1">
        <v>-2.2427100000000002</v>
      </c>
      <c r="J12">
        <f t="shared" si="1"/>
        <v>-1.074618594472012E-2</v>
      </c>
      <c r="K12">
        <f t="shared" si="0"/>
        <v>1.3495604554859729E-2</v>
      </c>
      <c r="L12" s="2">
        <f t="shared" si="0"/>
        <v>-5.1059987599010016E-2</v>
      </c>
      <c r="M12">
        <f t="shared" si="0"/>
        <v>-2.5544401861410125E-2</v>
      </c>
      <c r="N12">
        <f t="shared" si="2"/>
        <v>-2.2794983251270516E-2</v>
      </c>
      <c r="O12">
        <f t="shared" si="4"/>
        <v>-0.1087709992355706</v>
      </c>
      <c r="P12">
        <v>5.5923399925000004</v>
      </c>
      <c r="Q12">
        <v>61.229218359897402</v>
      </c>
      <c r="R12">
        <f t="shared" si="3"/>
        <v>-15.91514066975525</v>
      </c>
    </row>
    <row r="13" spans="2:18" x14ac:dyDescent="0.3">
      <c r="B13">
        <v>7.7700019999999981E-3</v>
      </c>
      <c r="C13">
        <v>9.1400000000000006E-3</v>
      </c>
      <c r="D13">
        <v>1.1979996999999992E-2</v>
      </c>
      <c r="E13">
        <v>1.303E-2</v>
      </c>
      <c r="F13" s="1">
        <v>3.8379400000000001</v>
      </c>
      <c r="G13" s="1">
        <v>6.7478899999999999</v>
      </c>
      <c r="H13" s="1">
        <v>-4.17157</v>
      </c>
      <c r="I13" s="1">
        <v>-2.2427100000000002</v>
      </c>
      <c r="J13">
        <f t="shared" si="1"/>
        <v>2.9820801475879993E-2</v>
      </c>
      <c r="K13">
        <f t="shared" si="0"/>
        <v>6.1675714600000001E-2</v>
      </c>
      <c r="L13" s="2">
        <f t="shared" si="0"/>
        <v>-4.9975396085289968E-2</v>
      </c>
      <c r="M13">
        <f t="shared" si="0"/>
        <v>-2.9222511300000004E-2</v>
      </c>
      <c r="N13">
        <f t="shared" si="2"/>
        <v>6.2274004775879993E-2</v>
      </c>
      <c r="O13">
        <f t="shared" si="4"/>
        <v>-3.8761378908419991E-2</v>
      </c>
      <c r="P13">
        <v>5.5923399925000004</v>
      </c>
      <c r="Q13">
        <v>61.229218359897402</v>
      </c>
      <c r="R13">
        <f t="shared" si="3"/>
        <v>-5.6714823088565529</v>
      </c>
    </row>
    <row r="14" spans="2:18" x14ac:dyDescent="0.3">
      <c r="B14">
        <v>1.5720000000000001E-2</v>
      </c>
      <c r="C14">
        <v>1.319998499999997E-2</v>
      </c>
      <c r="D14">
        <v>7.6900119999999961E-3</v>
      </c>
      <c r="E14">
        <v>1.0270000000000001E-2</v>
      </c>
      <c r="F14" s="1">
        <v>3.8379400000000001</v>
      </c>
      <c r="G14" s="1">
        <v>6.7478899999999999</v>
      </c>
      <c r="H14" s="1">
        <v>-4.17157</v>
      </c>
      <c r="I14" s="1">
        <v>-2.2427100000000002</v>
      </c>
      <c r="J14">
        <f t="shared" si="1"/>
        <v>6.0332416800000011E-2</v>
      </c>
      <c r="K14">
        <f t="shared" si="0"/>
        <v>8.9072046781649789E-2</v>
      </c>
      <c r="L14" s="2">
        <f t="shared" si="0"/>
        <v>-3.2079423358839981E-2</v>
      </c>
      <c r="M14">
        <f t="shared" si="0"/>
        <v>-2.3032631700000004E-2</v>
      </c>
      <c r="N14">
        <f t="shared" si="2"/>
        <v>0.1263718318816498</v>
      </c>
      <c r="O14">
        <f t="shared" si="4"/>
        <v>4.4317012437519843E-2</v>
      </c>
      <c r="P14">
        <v>5.5923399925000004</v>
      </c>
      <c r="Q14">
        <v>61.229218359897402</v>
      </c>
      <c r="R14">
        <f t="shared" si="3"/>
        <v>6.4843707602510321</v>
      </c>
    </row>
    <row r="15" spans="2:18" x14ac:dyDescent="0.3">
      <c r="B15">
        <v>1.8379986000000015E-2</v>
      </c>
      <c r="C15">
        <v>1.281E-2</v>
      </c>
      <c r="D15">
        <v>8.1001199999999884E-4</v>
      </c>
      <c r="E15">
        <v>4.0600000000000002E-3</v>
      </c>
      <c r="F15" s="1">
        <v>3.8379400000000001</v>
      </c>
      <c r="G15" s="1">
        <v>6.7478899999999999</v>
      </c>
      <c r="H15" s="1">
        <v>-4.17157</v>
      </c>
      <c r="I15" s="1">
        <v>-2.2427100000000002</v>
      </c>
      <c r="J15">
        <f t="shared" si="1"/>
        <v>7.054128346884006E-2</v>
      </c>
      <c r="K15">
        <f t="shared" si="0"/>
        <v>8.6440470899999997E-2</v>
      </c>
      <c r="L15" s="2">
        <f t="shared" si="0"/>
        <v>-3.379021758839995E-3</v>
      </c>
      <c r="M15">
        <f t="shared" si="0"/>
        <v>-9.1054026000000014E-3</v>
      </c>
      <c r="N15">
        <f t="shared" si="2"/>
        <v>0.14787635176884004</v>
      </c>
      <c r="O15">
        <f t="shared" si="4"/>
        <v>0.11241790665116005</v>
      </c>
      <c r="P15">
        <v>5.5923399925000004</v>
      </c>
      <c r="Q15">
        <v>61.229218359897402</v>
      </c>
      <c r="R15">
        <f t="shared" si="3"/>
        <v>16.448748386302722</v>
      </c>
    </row>
    <row r="16" spans="2:18" x14ac:dyDescent="0.3">
      <c r="B16">
        <v>1.4829999999999999E-2</v>
      </c>
      <c r="C16">
        <v>8.0999729999999825E-3</v>
      </c>
      <c r="D16">
        <v>-6.3499809999999768E-3</v>
      </c>
      <c r="E16">
        <v>-3.5299959999999797E-3</v>
      </c>
      <c r="F16" s="1">
        <v>3.8379400000000001</v>
      </c>
      <c r="G16" s="1">
        <v>6.7478899999999999</v>
      </c>
      <c r="H16" s="1">
        <v>-4.17157</v>
      </c>
      <c r="I16" s="1">
        <v>-2.2427100000000002</v>
      </c>
      <c r="J16">
        <f t="shared" si="1"/>
        <v>5.6916650200000002E-2</v>
      </c>
      <c r="K16">
        <f t="shared" si="0"/>
        <v>5.4657726806969884E-2</v>
      </c>
      <c r="L16" s="2">
        <f t="shared" si="0"/>
        <v>2.6489390240169903E-2</v>
      </c>
      <c r="M16">
        <f t="shared" si="0"/>
        <v>7.9167573291599545E-3</v>
      </c>
      <c r="N16">
        <f t="shared" si="2"/>
        <v>0.11949113433612985</v>
      </c>
      <c r="O16">
        <f t="shared" si="4"/>
        <v>0.14260150281745976</v>
      </c>
      <c r="P16">
        <v>5.5923399925000004</v>
      </c>
      <c r="Q16">
        <v>61.229218359897402</v>
      </c>
      <c r="R16">
        <f t="shared" si="3"/>
        <v>20.865147815210896</v>
      </c>
    </row>
    <row r="17" spans="2:18" x14ac:dyDescent="0.3">
      <c r="B17">
        <v>6.2899589999999561E-3</v>
      </c>
      <c r="C17">
        <v>6.6E-4</v>
      </c>
      <c r="D17">
        <v>-1.1370003000000004E-2</v>
      </c>
      <c r="E17">
        <v>-9.9200010000000116E-3</v>
      </c>
      <c r="F17" s="1">
        <v>3.8379400000000001</v>
      </c>
      <c r="G17" s="1">
        <v>6.7478899999999999</v>
      </c>
      <c r="H17" s="1">
        <v>-4.17157</v>
      </c>
      <c r="I17" s="1">
        <v>-2.2427100000000002</v>
      </c>
      <c r="J17">
        <f t="shared" si="1"/>
        <v>2.4140485244459834E-2</v>
      </c>
      <c r="K17">
        <f t="shared" si="0"/>
        <v>4.4536074000000002E-3</v>
      </c>
      <c r="L17" s="2">
        <f t="shared" si="0"/>
        <v>4.7430763414710017E-2</v>
      </c>
      <c r="M17">
        <f t="shared" si="0"/>
        <v>2.2247685442710028E-2</v>
      </c>
      <c r="N17">
        <f t="shared" si="2"/>
        <v>5.0841778087169859E-2</v>
      </c>
      <c r="O17">
        <f t="shared" si="4"/>
        <v>0.12476193174204978</v>
      </c>
      <c r="P17">
        <v>5.5923399925000004</v>
      </c>
      <c r="Q17">
        <v>61.229218359897402</v>
      </c>
      <c r="R17">
        <f t="shared" si="3"/>
        <v>18.254899815757021</v>
      </c>
    </row>
    <row r="18" spans="2:18" x14ac:dyDescent="0.3">
      <c r="B18">
        <v>-4.3699740000000542E-3</v>
      </c>
      <c r="C18">
        <v>-7.0000290000000187E-3</v>
      </c>
      <c r="D18">
        <v>-1.254999599999998E-2</v>
      </c>
      <c r="E18">
        <v>-1.2969971000000025E-2</v>
      </c>
      <c r="F18" s="1">
        <v>3.8379400000000001</v>
      </c>
      <c r="G18" s="1">
        <v>6.7478899999999999</v>
      </c>
      <c r="H18" s="1">
        <v>-4.17157</v>
      </c>
      <c r="I18" s="1">
        <v>-2.2427100000000002</v>
      </c>
      <c r="J18">
        <f t="shared" si="1"/>
        <v>-1.677169801356021E-2</v>
      </c>
      <c r="K18">
        <f t="shared" si="1"/>
        <v>-4.7235425688810125E-2</v>
      </c>
      <c r="L18" s="2">
        <f t="shared" si="1"/>
        <v>5.2353186813719914E-2</v>
      </c>
      <c r="M18">
        <f t="shared" si="1"/>
        <v>2.9087883661410057E-2</v>
      </c>
      <c r="N18">
        <f t="shared" si="2"/>
        <v>-3.4919240040960267E-2</v>
      </c>
      <c r="O18">
        <f t="shared" si="4"/>
        <v>6.4864710187469671E-2</v>
      </c>
      <c r="P18">
        <v>5.5923399925000004</v>
      </c>
      <c r="Q18">
        <v>61.229218359897402</v>
      </c>
      <c r="R18">
        <f t="shared" si="3"/>
        <v>9.4908660800358877</v>
      </c>
    </row>
    <row r="19" spans="2:18" x14ac:dyDescent="0.3">
      <c r="B19">
        <v>-1.355999699999999E-2</v>
      </c>
      <c r="C19">
        <v>-1.2300014000000026E-2</v>
      </c>
      <c r="D19">
        <v>-9.5100179999999951E-3</v>
      </c>
      <c r="E19">
        <v>-1.165002599999998E-2</v>
      </c>
      <c r="F19" s="1">
        <v>3.8379400000000001</v>
      </c>
      <c r="G19" s="1">
        <v>6.7478899999999999</v>
      </c>
      <c r="H19" s="1">
        <v>-4.17157</v>
      </c>
      <c r="I19" s="1">
        <v>-2.2427100000000002</v>
      </c>
      <c r="J19">
        <f t="shared" ref="J19:M33" si="5">B19*F19</f>
        <v>-5.2042454886179965E-2</v>
      </c>
      <c r="K19">
        <f t="shared" si="5"/>
        <v>-8.2999141470460169E-2</v>
      </c>
      <c r="L19" s="2">
        <f t="shared" si="5"/>
        <v>3.967170578825998E-2</v>
      </c>
      <c r="M19">
        <f t="shared" si="5"/>
        <v>2.6127629810459959E-2</v>
      </c>
      <c r="N19">
        <f t="shared" si="2"/>
        <v>-0.10891396654618019</v>
      </c>
      <c r="O19">
        <f t="shared" si="4"/>
        <v>-1.6889073944200292E-2</v>
      </c>
      <c r="P19">
        <v>5.5923399925000004</v>
      </c>
      <c r="Q19">
        <v>61.229218359897402</v>
      </c>
      <c r="R19">
        <f t="shared" si="3"/>
        <v>-2.4711732860126623</v>
      </c>
    </row>
    <row r="20" spans="2:18" x14ac:dyDescent="0.3">
      <c r="B20">
        <v>-1.818001300000005E-2</v>
      </c>
      <c r="C20">
        <v>-1.3459979999999983E-2</v>
      </c>
      <c r="D20">
        <v>-3.2500030000000013E-3</v>
      </c>
      <c r="E20">
        <v>-6.3999889999999948E-3</v>
      </c>
      <c r="F20" s="1">
        <v>3.8379400000000001</v>
      </c>
      <c r="G20" s="1">
        <v>6.7478899999999999</v>
      </c>
      <c r="H20" s="1">
        <v>-4.17157</v>
      </c>
      <c r="I20" s="1">
        <v>-2.2427100000000002</v>
      </c>
      <c r="J20">
        <f t="shared" si="5"/>
        <v>-6.9773799093220193E-2</v>
      </c>
      <c r="K20">
        <f t="shared" si="5"/>
        <v>-9.0826464442199883E-2</v>
      </c>
      <c r="L20" s="2">
        <f t="shared" si="5"/>
        <v>1.3557615014710006E-2</v>
      </c>
      <c r="M20">
        <f t="shared" si="5"/>
        <v>1.435331933018999E-2</v>
      </c>
      <c r="N20">
        <f t="shared" si="2"/>
        <v>-0.14624694420523007</v>
      </c>
      <c r="O20">
        <f t="shared" si="4"/>
        <v>-9.301762340226008E-2</v>
      </c>
      <c r="P20">
        <v>5.5923399925000004</v>
      </c>
      <c r="Q20">
        <v>61.229218359897402</v>
      </c>
      <c r="R20">
        <f t="shared" si="3"/>
        <v>-13.610140309616336</v>
      </c>
    </row>
    <row r="21" spans="2:18" x14ac:dyDescent="0.3">
      <c r="B21">
        <v>-1.6669988999999996E-2</v>
      </c>
      <c r="C21">
        <v>-1.0079979999999988E-2</v>
      </c>
      <c r="D21">
        <v>4.0900109999999767E-3</v>
      </c>
      <c r="E21">
        <v>1E-3</v>
      </c>
      <c r="F21" s="1">
        <v>3.8379400000000001</v>
      </c>
      <c r="G21" s="1">
        <v>6.7478899999999999</v>
      </c>
      <c r="H21" s="1">
        <v>-4.17157</v>
      </c>
      <c r="I21" s="1">
        <v>-2.2427100000000002</v>
      </c>
      <c r="J21">
        <f t="shared" si="5"/>
        <v>-6.3978417582659985E-2</v>
      </c>
      <c r="K21">
        <f t="shared" si="5"/>
        <v>-6.8018596242199927E-2</v>
      </c>
      <c r="L21" s="2">
        <f t="shared" si="5"/>
        <v>-1.7061767187269903E-2</v>
      </c>
      <c r="M21">
        <f t="shared" si="5"/>
        <v>-2.2427100000000002E-3</v>
      </c>
      <c r="N21">
        <f t="shared" si="2"/>
        <v>-0.13423972382485991</v>
      </c>
      <c r="O21">
        <f t="shared" si="4"/>
        <v>-0.1377438759974198</v>
      </c>
      <c r="P21">
        <v>5.5923399925000004</v>
      </c>
      <c r="Q21">
        <v>61.229218359897402</v>
      </c>
      <c r="R21">
        <f t="shared" si="3"/>
        <v>-20.154390217087904</v>
      </c>
    </row>
    <row r="22" spans="2:18" x14ac:dyDescent="0.3">
      <c r="B22">
        <v>-9.5400209999999541E-3</v>
      </c>
      <c r="C22">
        <v>-3.3000109999999916E-3</v>
      </c>
      <c r="D22">
        <v>1.0060011999999979E-2</v>
      </c>
      <c r="E22">
        <v>8.0699920000000258E-3</v>
      </c>
      <c r="F22" s="1">
        <v>3.8379400000000001</v>
      </c>
      <c r="G22" s="1">
        <v>6.7478899999999999</v>
      </c>
      <c r="H22" s="1">
        <v>-4.17157</v>
      </c>
      <c r="I22" s="1">
        <v>-2.2427100000000002</v>
      </c>
      <c r="J22">
        <f t="shared" si="5"/>
        <v>-3.6614028196739826E-2</v>
      </c>
      <c r="K22">
        <f t="shared" si="5"/>
        <v>-2.2268111226789945E-2</v>
      </c>
      <c r="L22" s="2">
        <f t="shared" si="5"/>
        <v>-4.1966044258839916E-2</v>
      </c>
      <c r="M22">
        <f t="shared" si="5"/>
        <v>-1.809865175832006E-2</v>
      </c>
      <c r="N22">
        <f t="shared" si="2"/>
        <v>-7.6980791181849834E-2</v>
      </c>
      <c r="O22">
        <f t="shared" si="4"/>
        <v>-0.13600860262795966</v>
      </c>
      <c r="P22">
        <v>5.5923399925000004</v>
      </c>
      <c r="Q22">
        <v>61.229218359897402</v>
      </c>
      <c r="R22">
        <f t="shared" si="3"/>
        <v>-19.900488717887491</v>
      </c>
    </row>
    <row r="23" spans="2:18" x14ac:dyDescent="0.3">
      <c r="B23">
        <v>8.0001399999996003E-4</v>
      </c>
      <c r="C23">
        <v>4.5900000000000003E-3</v>
      </c>
      <c r="D23">
        <v>1.2639999000000013E-2</v>
      </c>
      <c r="E23">
        <v>1.242E-2</v>
      </c>
      <c r="F23" s="1">
        <v>3.8379400000000001</v>
      </c>
      <c r="G23" s="1">
        <v>6.7478899999999999</v>
      </c>
      <c r="H23" s="1">
        <v>-4.17157</v>
      </c>
      <c r="I23" s="1">
        <v>-2.2427100000000002</v>
      </c>
      <c r="J23">
        <f t="shared" si="5"/>
        <v>3.0704057311598467E-3</v>
      </c>
      <c r="K23">
        <f t="shared" si="5"/>
        <v>3.0972815100000002E-2</v>
      </c>
      <c r="L23" s="2">
        <f t="shared" si="5"/>
        <v>-5.2728640628430051E-2</v>
      </c>
      <c r="M23">
        <f t="shared" si="5"/>
        <v>-2.7854458200000005E-2</v>
      </c>
      <c r="N23">
        <f t="shared" si="2"/>
        <v>6.1887626311598436E-3</v>
      </c>
      <c r="O23">
        <f t="shared" si="4"/>
        <v>-8.850592225611012E-2</v>
      </c>
      <c r="P23">
        <v>5.5923399925000004</v>
      </c>
      <c r="Q23">
        <v>61.229218359897402</v>
      </c>
      <c r="R23">
        <f t="shared" si="3"/>
        <v>-12.949997818460561</v>
      </c>
    </row>
    <row r="24" spans="2:18" x14ac:dyDescent="0.3">
      <c r="B24">
        <v>1.0880000000000001E-2</v>
      </c>
      <c r="C24">
        <v>1.093000200000005E-2</v>
      </c>
      <c r="D24">
        <v>1.0950028999999972E-2</v>
      </c>
      <c r="E24">
        <v>1.2580036999999988E-2</v>
      </c>
      <c r="F24" s="1">
        <v>3.8379400000000001</v>
      </c>
      <c r="G24" s="1">
        <v>6.7478899999999999</v>
      </c>
      <c r="H24" s="1">
        <v>-4.17157</v>
      </c>
      <c r="I24" s="1">
        <v>-2.2427100000000002</v>
      </c>
      <c r="J24">
        <f t="shared" si="5"/>
        <v>4.1756787200000006E-2</v>
      </c>
      <c r="K24">
        <f t="shared" si="5"/>
        <v>7.3754451195780335E-2</v>
      </c>
      <c r="L24" s="2">
        <f t="shared" si="5"/>
        <v>-4.5678812475529885E-2</v>
      </c>
      <c r="M24">
        <f t="shared" si="5"/>
        <v>-2.8213374780269976E-2</v>
      </c>
      <c r="N24">
        <f t="shared" si="2"/>
        <v>8.7297863615510368E-2</v>
      </c>
      <c r="O24">
        <f t="shared" si="4"/>
        <v>-1.1109589488449569E-2</v>
      </c>
      <c r="P24">
        <v>5.5923399925000004</v>
      </c>
      <c r="Q24">
        <v>61.229218359897402</v>
      </c>
      <c r="R24">
        <f t="shared" si="3"/>
        <v>-1.6255314443602908</v>
      </c>
    </row>
    <row r="25" spans="2:18" x14ac:dyDescent="0.3">
      <c r="B25">
        <v>1.7279982999999999E-2</v>
      </c>
      <c r="C25">
        <v>1.359E-2</v>
      </c>
      <c r="D25">
        <v>5.5800080000000252E-3</v>
      </c>
      <c r="E25">
        <v>8.5000000000000006E-3</v>
      </c>
      <c r="F25" s="1">
        <v>3.8379400000000001</v>
      </c>
      <c r="G25" s="1">
        <v>6.7478899999999999</v>
      </c>
      <c r="H25" s="1">
        <v>-4.17157</v>
      </c>
      <c r="I25" s="1">
        <v>-2.2427100000000002</v>
      </c>
      <c r="J25">
        <f t="shared" si="5"/>
        <v>6.6319537955019991E-2</v>
      </c>
      <c r="K25">
        <f t="shared" si="5"/>
        <v>9.1703825099999997E-2</v>
      </c>
      <c r="L25" s="2">
        <f t="shared" si="5"/>
        <v>-2.3277393972560106E-2</v>
      </c>
      <c r="M25">
        <f t="shared" si="5"/>
        <v>-1.9063035000000002E-2</v>
      </c>
      <c r="N25">
        <f t="shared" si="2"/>
        <v>0.13896032805501998</v>
      </c>
      <c r="O25">
        <f t="shared" si="4"/>
        <v>7.0004121606929995E-2</v>
      </c>
      <c r="P25">
        <v>5.5923399925000004</v>
      </c>
      <c r="Q25">
        <v>61.229218359897402</v>
      </c>
      <c r="R25">
        <f t="shared" si="3"/>
        <v>10.242853799881241</v>
      </c>
    </row>
    <row r="26" spans="2:18" x14ac:dyDescent="0.3">
      <c r="B26">
        <v>1.787E-2</v>
      </c>
      <c r="C26">
        <v>1.1669993000000045E-2</v>
      </c>
      <c r="D26">
        <v>-1.680016999999992E-3</v>
      </c>
      <c r="E26">
        <v>1.5599729999999923E-3</v>
      </c>
      <c r="F26" s="1">
        <v>3.8379400000000001</v>
      </c>
      <c r="G26" s="1">
        <v>6.7478899999999999</v>
      </c>
      <c r="H26" s="1">
        <v>-4.17157</v>
      </c>
      <c r="I26" s="1">
        <v>-2.2427100000000002</v>
      </c>
      <c r="J26">
        <f t="shared" si="5"/>
        <v>6.858398780000001E-2</v>
      </c>
      <c r="K26">
        <f t="shared" si="5"/>
        <v>7.8747829064770306E-2</v>
      </c>
      <c r="L26" s="2">
        <f t="shared" si="5"/>
        <v>7.0083085166899664E-3</v>
      </c>
      <c r="M26">
        <f t="shared" si="5"/>
        <v>-3.4985670468299832E-3</v>
      </c>
      <c r="N26">
        <f t="shared" si="2"/>
        <v>0.14383324981794032</v>
      </c>
      <c r="O26">
        <f t="shared" si="4"/>
        <v>0.12756416436207019</v>
      </c>
      <c r="P26">
        <v>5.5923399925000004</v>
      </c>
      <c r="Q26">
        <v>61.229218359897402</v>
      </c>
      <c r="R26">
        <f t="shared" si="3"/>
        <v>18.66491651736343</v>
      </c>
    </row>
    <row r="27" spans="2:18" x14ac:dyDescent="0.3">
      <c r="B27">
        <v>1.2430012000000046E-2</v>
      </c>
      <c r="C27">
        <v>5.8100000000000001E-3</v>
      </c>
      <c r="D27">
        <v>-8.3700195000000061E-3</v>
      </c>
      <c r="E27">
        <v>-5.9099790000000096E-3</v>
      </c>
      <c r="F27" s="1">
        <v>3.8379400000000001</v>
      </c>
      <c r="G27" s="1">
        <v>6.7478899999999999</v>
      </c>
      <c r="H27" s="1">
        <v>-4.17157</v>
      </c>
      <c r="I27" s="1">
        <v>-2.2427100000000002</v>
      </c>
      <c r="J27">
        <f t="shared" si="5"/>
        <v>4.7705640255280179E-2</v>
      </c>
      <c r="K27">
        <f t="shared" si="5"/>
        <v>3.92052409E-2</v>
      </c>
      <c r="L27" s="2">
        <f t="shared" si="5"/>
        <v>3.4916122245615022E-2</v>
      </c>
      <c r="M27">
        <f t="shared" si="5"/>
        <v>1.3254369003090023E-2</v>
      </c>
      <c r="N27">
        <f t="shared" si="2"/>
        <v>0.10016525015837019</v>
      </c>
      <c r="O27">
        <f t="shared" si="4"/>
        <v>0.14208968092067517</v>
      </c>
      <c r="P27">
        <v>5.5923399925000004</v>
      </c>
      <c r="Q27">
        <v>61.229218359897402</v>
      </c>
      <c r="R27">
        <f t="shared" si="3"/>
        <v>20.790259126659397</v>
      </c>
    </row>
    <row r="28" spans="2:18" x14ac:dyDescent="0.3">
      <c r="B28">
        <v>2.8E-3</v>
      </c>
      <c r="C28">
        <v>-1.9999740000000155E-3</v>
      </c>
      <c r="D28">
        <v>-1.2239993000000005E-2</v>
      </c>
      <c r="E28">
        <v>-1.1389970999999999E-2</v>
      </c>
      <c r="F28" s="1">
        <v>3.8379400000000001</v>
      </c>
      <c r="G28" s="1">
        <v>6.7478899999999999</v>
      </c>
      <c r="H28" s="1">
        <v>-4.17157</v>
      </c>
      <c r="I28" s="1">
        <v>-2.2427100000000002</v>
      </c>
      <c r="J28">
        <f t="shared" si="5"/>
        <v>1.0746232E-2</v>
      </c>
      <c r="K28">
        <f t="shared" si="5"/>
        <v>-1.3495604554860104E-2</v>
      </c>
      <c r="L28" s="2">
        <f t="shared" si="5"/>
        <v>5.1059987599010016E-2</v>
      </c>
      <c r="M28">
        <f t="shared" si="5"/>
        <v>2.554440186141E-2</v>
      </c>
      <c r="N28">
        <f t="shared" si="2"/>
        <v>2.2795029306549898E-2</v>
      </c>
      <c r="O28">
        <f t="shared" si="4"/>
        <v>0.10877113915117494</v>
      </c>
      <c r="P28">
        <v>5.5923399925000004</v>
      </c>
      <c r="Q28">
        <v>61.229218359897402</v>
      </c>
      <c r="R28">
        <f t="shared" si="3"/>
        <v>15.915161141908127</v>
      </c>
    </row>
    <row r="29" spans="2:18" x14ac:dyDescent="0.3">
      <c r="B29">
        <v>-7.7700019999999981E-3</v>
      </c>
      <c r="C29">
        <v>-9.1400149999999458E-3</v>
      </c>
      <c r="D29">
        <v>-1.1979996999999978E-2</v>
      </c>
      <c r="E29">
        <v>-1.3029992999999962E-2</v>
      </c>
      <c r="F29" s="1">
        <v>3.8379400000000001</v>
      </c>
      <c r="G29" s="1">
        <v>6.7478899999999999</v>
      </c>
      <c r="H29" s="1">
        <v>-4.17157</v>
      </c>
      <c r="I29" s="1">
        <v>-2.2427100000000002</v>
      </c>
      <c r="J29">
        <f t="shared" si="5"/>
        <v>-2.9820801475879993E-2</v>
      </c>
      <c r="K29">
        <f t="shared" si="5"/>
        <v>-6.1675815818349633E-2</v>
      </c>
      <c r="L29" s="2">
        <f t="shared" si="5"/>
        <v>4.9975396085289912E-2</v>
      </c>
      <c r="M29">
        <f t="shared" si="5"/>
        <v>2.9222495601029918E-2</v>
      </c>
      <c r="N29">
        <f t="shared" si="2"/>
        <v>-6.2274121693199708E-2</v>
      </c>
      <c r="O29">
        <f t="shared" si="4"/>
        <v>3.8761261991100221E-2</v>
      </c>
      <c r="P29">
        <v>5.5923399925000004</v>
      </c>
      <c r="Q29">
        <v>61.229218359897402</v>
      </c>
      <c r="R29">
        <f t="shared" si="3"/>
        <v>5.6714652017636338</v>
      </c>
    </row>
    <row r="30" spans="2:18" x14ac:dyDescent="0.3">
      <c r="B30">
        <v>-1.5720010000000006E-2</v>
      </c>
      <c r="C30">
        <v>-1.3199985000000025E-2</v>
      </c>
      <c r="D30">
        <v>-7.6900119999999822E-3</v>
      </c>
      <c r="E30">
        <v>-1.0270000000000001E-2</v>
      </c>
      <c r="F30" s="1">
        <v>3.8379400000000001</v>
      </c>
      <c r="G30" s="1">
        <v>6.7478899999999999</v>
      </c>
      <c r="H30" s="1">
        <v>-4.17157</v>
      </c>
      <c r="I30" s="1">
        <v>-2.2427100000000002</v>
      </c>
      <c r="J30">
        <f t="shared" si="5"/>
        <v>-6.033245517940003E-2</v>
      </c>
      <c r="K30">
        <f t="shared" si="5"/>
        <v>-8.9072046781650163E-2</v>
      </c>
      <c r="L30" s="2">
        <f t="shared" si="5"/>
        <v>3.2079423358839926E-2</v>
      </c>
      <c r="M30">
        <f t="shared" si="5"/>
        <v>2.3032631700000004E-2</v>
      </c>
      <c r="N30">
        <f t="shared" si="2"/>
        <v>-0.12637187026105021</v>
      </c>
      <c r="O30">
        <f t="shared" si="4"/>
        <v>-4.4317050816920361E-2</v>
      </c>
      <c r="P30">
        <v>5.5923399925000004</v>
      </c>
      <c r="Q30">
        <v>61.229218359897402</v>
      </c>
      <c r="R30">
        <f t="shared" si="3"/>
        <v>-6.4843763758430768</v>
      </c>
    </row>
    <row r="31" spans="2:18" x14ac:dyDescent="0.3">
      <c r="B31">
        <v>-1.8379986000000015E-2</v>
      </c>
      <c r="C31">
        <v>-1.2809991999999992E-2</v>
      </c>
      <c r="D31">
        <v>-8.1001199999999884E-4</v>
      </c>
      <c r="E31">
        <v>-4.0600299999999923E-3</v>
      </c>
      <c r="F31" s="1">
        <v>3.8379400000000001</v>
      </c>
      <c r="G31" s="1">
        <v>6.7478899999999999</v>
      </c>
      <c r="H31" s="1">
        <v>-4.17157</v>
      </c>
      <c r="I31" s="1">
        <v>-2.2427100000000002</v>
      </c>
      <c r="J31">
        <f t="shared" si="5"/>
        <v>-7.054128346884006E-2</v>
      </c>
      <c r="K31">
        <f t="shared" si="5"/>
        <v>-8.6440416916879953E-2</v>
      </c>
      <c r="L31" s="2">
        <f t="shared" si="5"/>
        <v>3.379021758839995E-3</v>
      </c>
      <c r="M31">
        <f t="shared" si="5"/>
        <v>9.1054698812999841E-3</v>
      </c>
      <c r="N31">
        <f t="shared" si="2"/>
        <v>-0.14787623050442003</v>
      </c>
      <c r="O31">
        <f t="shared" si="4"/>
        <v>-0.1124177853867401</v>
      </c>
      <c r="P31">
        <v>5.5923399925000004</v>
      </c>
      <c r="Q31">
        <v>61.229218359897402</v>
      </c>
      <c r="R31">
        <f t="shared" si="3"/>
        <v>-16.448730643151375</v>
      </c>
    </row>
    <row r="32" spans="2:18" x14ac:dyDescent="0.3">
      <c r="B32">
        <v>-1.4829992999999986E-2</v>
      </c>
      <c r="C32">
        <v>-8.0999729999999825E-3</v>
      </c>
      <c r="D32">
        <v>6.3499809999999768E-3</v>
      </c>
      <c r="E32">
        <v>3.5300249999999922E-3</v>
      </c>
      <c r="F32" s="1">
        <v>3.8379400000000001</v>
      </c>
      <c r="G32" s="1">
        <v>6.7478899999999999</v>
      </c>
      <c r="H32" s="1">
        <v>-4.17157</v>
      </c>
      <c r="I32" s="1">
        <v>-2.2427100000000002</v>
      </c>
      <c r="J32">
        <f t="shared" si="5"/>
        <v>-5.691662333441995E-2</v>
      </c>
      <c r="K32">
        <f t="shared" si="5"/>
        <v>-5.4657726806969884E-2</v>
      </c>
      <c r="L32" s="2">
        <f t="shared" si="5"/>
        <v>-2.6489390240169903E-2</v>
      </c>
      <c r="M32">
        <f t="shared" si="5"/>
        <v>-7.9168223677499837E-3</v>
      </c>
      <c r="N32">
        <f t="shared" si="2"/>
        <v>-0.11949117250913982</v>
      </c>
      <c r="O32">
        <f t="shared" si="4"/>
        <v>-0.14260154099046973</v>
      </c>
      <c r="P32">
        <v>5.5923399925000004</v>
      </c>
      <c r="Q32">
        <v>61.229218359897402</v>
      </c>
      <c r="R32">
        <f t="shared" si="3"/>
        <v>-20.865153400604317</v>
      </c>
    </row>
    <row r="33" spans="2:18" x14ac:dyDescent="0.3">
      <c r="B33">
        <v>-6.2899889999999958E-3</v>
      </c>
      <c r="C33">
        <v>-6.6000200000004838E-4</v>
      </c>
      <c r="D33">
        <v>1.1370003000000017E-2</v>
      </c>
      <c r="E33">
        <v>9.92E-3</v>
      </c>
      <c r="F33" s="1">
        <v>3.8379400000000001</v>
      </c>
      <c r="G33" s="1">
        <v>6.7478899999999999</v>
      </c>
      <c r="H33" s="1">
        <v>-4.17157</v>
      </c>
      <c r="I33" s="1">
        <v>-2.2427100000000002</v>
      </c>
      <c r="J33">
        <f t="shared" si="5"/>
        <v>-2.4140600382659985E-2</v>
      </c>
      <c r="K33">
        <f t="shared" si="5"/>
        <v>-4.4536208957803268E-3</v>
      </c>
      <c r="L33" s="2">
        <f t="shared" si="5"/>
        <v>-4.7430763414710073E-2</v>
      </c>
      <c r="M33">
        <f t="shared" si="5"/>
        <v>-2.2247683200000003E-2</v>
      </c>
      <c r="N33">
        <f t="shared" si="2"/>
        <v>-5.0841904478440315E-2</v>
      </c>
      <c r="O33">
        <f t="shared" si="4"/>
        <v>-0.12476205813332029</v>
      </c>
      <c r="P33">
        <v>5.5923399925000004</v>
      </c>
      <c r="Q33">
        <v>61.229218359897402</v>
      </c>
      <c r="R33">
        <f t="shared" si="3"/>
        <v>-18.254918309058212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yajun zhang</cp:lastModifiedBy>
  <dcterms:created xsi:type="dcterms:W3CDTF">2015-06-05T18:19:34Z</dcterms:created>
  <dcterms:modified xsi:type="dcterms:W3CDTF">2025-05-23T15:44:54Z</dcterms:modified>
</cp:coreProperties>
</file>