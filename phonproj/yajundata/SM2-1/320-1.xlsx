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LZU\perovskite-domain\PbTiO3\strain\0.02\320\320\displacement-field\SM2-1\"/>
    </mc:Choice>
  </mc:AlternateContent>
  <xr:revisionPtr revIDLastSave="0" documentId="13_ncr:1_{A4C45B08-9785-4B4E-BA67-D0B91F261F34}" xr6:coauthVersionLast="47" xr6:coauthVersionMax="47" xr10:uidLastSave="{00000000-0000-0000-0000-000000000000}"/>
  <bookViews>
    <workbookView xWindow="-110" yWindow="-110" windowWidth="19420" windowHeight="10420" activeTab="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7" l="1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2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2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" i="9"/>
  <c r="O2" i="9"/>
  <c r="M4" i="9"/>
  <c r="L4" i="9"/>
  <c r="K4" i="9"/>
  <c r="J4" i="9"/>
  <c r="M3" i="9"/>
  <c r="L3" i="9"/>
  <c r="K3" i="9"/>
  <c r="J3" i="9"/>
  <c r="M2" i="9"/>
  <c r="L2" i="9"/>
  <c r="K2" i="9"/>
  <c r="J2" i="9"/>
  <c r="M33" i="9"/>
  <c r="L33" i="9"/>
  <c r="K33" i="9"/>
  <c r="J33" i="9"/>
  <c r="M32" i="9"/>
  <c r="L32" i="9"/>
  <c r="K32" i="9"/>
  <c r="J32" i="9"/>
  <c r="M31" i="9"/>
  <c r="L31" i="9"/>
  <c r="K31" i="9"/>
  <c r="J31" i="9"/>
  <c r="M30" i="9"/>
  <c r="L30" i="9"/>
  <c r="K30" i="9"/>
  <c r="J30" i="9"/>
  <c r="M29" i="9"/>
  <c r="L29" i="9"/>
  <c r="K29" i="9"/>
  <c r="J29" i="9"/>
  <c r="M28" i="9"/>
  <c r="L28" i="9"/>
  <c r="K28" i="9"/>
  <c r="J28" i="9"/>
  <c r="M27" i="9"/>
  <c r="L27" i="9"/>
  <c r="K27" i="9"/>
  <c r="J27" i="9"/>
  <c r="M26" i="9"/>
  <c r="L26" i="9"/>
  <c r="K26" i="9"/>
  <c r="J26" i="9"/>
  <c r="M25" i="9"/>
  <c r="L25" i="9"/>
  <c r="K25" i="9"/>
  <c r="J25" i="9"/>
  <c r="M24" i="9"/>
  <c r="L24" i="9"/>
  <c r="K24" i="9"/>
  <c r="J24" i="9"/>
  <c r="M23" i="9"/>
  <c r="L23" i="9"/>
  <c r="K23" i="9"/>
  <c r="J23" i="9"/>
  <c r="M22" i="9"/>
  <c r="L22" i="9"/>
  <c r="K22" i="9"/>
  <c r="J22" i="9"/>
  <c r="M21" i="9"/>
  <c r="L21" i="9"/>
  <c r="K21" i="9"/>
  <c r="J21" i="9"/>
  <c r="M20" i="9"/>
  <c r="L20" i="9"/>
  <c r="K20" i="9"/>
  <c r="J20" i="9"/>
  <c r="M19" i="9"/>
  <c r="L19" i="9"/>
  <c r="K19" i="9"/>
  <c r="J19" i="9"/>
  <c r="M18" i="9"/>
  <c r="L18" i="9"/>
  <c r="K18" i="9"/>
  <c r="J18" i="9"/>
  <c r="M17" i="9"/>
  <c r="L17" i="9"/>
  <c r="K17" i="9"/>
  <c r="J17" i="9"/>
  <c r="M16" i="9"/>
  <c r="L16" i="9"/>
  <c r="K16" i="9"/>
  <c r="J16" i="9"/>
  <c r="M15" i="9"/>
  <c r="L15" i="9"/>
  <c r="K15" i="9"/>
  <c r="J15" i="9"/>
  <c r="M14" i="9"/>
  <c r="L14" i="9"/>
  <c r="K14" i="9"/>
  <c r="J14" i="9"/>
  <c r="M13" i="9"/>
  <c r="L13" i="9"/>
  <c r="K13" i="9"/>
  <c r="J13" i="9"/>
  <c r="M12" i="9"/>
  <c r="L12" i="9"/>
  <c r="K12" i="9"/>
  <c r="J12" i="9"/>
  <c r="M11" i="9"/>
  <c r="L11" i="9"/>
  <c r="K11" i="9"/>
  <c r="J11" i="9"/>
  <c r="N11" i="9" s="1"/>
  <c r="M10" i="9"/>
  <c r="L10" i="9"/>
  <c r="K10" i="9"/>
  <c r="J10" i="9"/>
  <c r="M9" i="9"/>
  <c r="L9" i="9"/>
  <c r="K9" i="9"/>
  <c r="J9" i="9"/>
  <c r="M8" i="9"/>
  <c r="L8" i="9"/>
  <c r="K8" i="9"/>
  <c r="J8" i="9"/>
  <c r="M7" i="9"/>
  <c r="L7" i="9"/>
  <c r="K7" i="9"/>
  <c r="J7" i="9"/>
  <c r="M6" i="9"/>
  <c r="L6" i="9"/>
  <c r="K6" i="9"/>
  <c r="J6" i="9"/>
  <c r="M5" i="9"/>
  <c r="L5" i="9"/>
  <c r="K5" i="9"/>
  <c r="J5" i="9"/>
  <c r="M33" i="8"/>
  <c r="L33" i="8"/>
  <c r="K33" i="8"/>
  <c r="J33" i="8"/>
  <c r="N33" i="8" s="1"/>
  <c r="O33" i="8" s="1"/>
  <c r="R33" i="8" s="1"/>
  <c r="M32" i="8"/>
  <c r="L32" i="8"/>
  <c r="K32" i="8"/>
  <c r="J32" i="8"/>
  <c r="N32" i="8" s="1"/>
  <c r="O32" i="8" s="1"/>
  <c r="R32" i="8" s="1"/>
  <c r="M31" i="8"/>
  <c r="L31" i="8"/>
  <c r="K31" i="8"/>
  <c r="J31" i="8"/>
  <c r="N31" i="8" s="1"/>
  <c r="O31" i="8" s="1"/>
  <c r="R31" i="8" s="1"/>
  <c r="N30" i="8"/>
  <c r="O30" i="8" s="1"/>
  <c r="R30" i="8" s="1"/>
  <c r="M30" i="8"/>
  <c r="L30" i="8"/>
  <c r="K30" i="8"/>
  <c r="J30" i="8"/>
  <c r="M29" i="8"/>
  <c r="N29" i="8" s="1"/>
  <c r="O29" i="8" s="1"/>
  <c r="R29" i="8" s="1"/>
  <c r="L29" i="8"/>
  <c r="K29" i="8"/>
  <c r="J29" i="8"/>
  <c r="M28" i="8"/>
  <c r="L28" i="8"/>
  <c r="K28" i="8"/>
  <c r="N28" i="8" s="1"/>
  <c r="O28" i="8" s="1"/>
  <c r="R28" i="8" s="1"/>
  <c r="J28" i="8"/>
  <c r="N27" i="8"/>
  <c r="O27" i="8" s="1"/>
  <c r="R27" i="8" s="1"/>
  <c r="M27" i="8"/>
  <c r="L27" i="8"/>
  <c r="K27" i="8"/>
  <c r="J27" i="8"/>
  <c r="M26" i="8"/>
  <c r="L26" i="8"/>
  <c r="K26" i="8"/>
  <c r="J26" i="8"/>
  <c r="N26" i="8" s="1"/>
  <c r="O26" i="8" s="1"/>
  <c r="R26" i="8" s="1"/>
  <c r="M25" i="8"/>
  <c r="L25" i="8"/>
  <c r="K25" i="8"/>
  <c r="J25" i="8"/>
  <c r="N25" i="8" s="1"/>
  <c r="O25" i="8" s="1"/>
  <c r="R25" i="8" s="1"/>
  <c r="M24" i="8"/>
  <c r="L24" i="8"/>
  <c r="K24" i="8"/>
  <c r="J24" i="8"/>
  <c r="N24" i="8" s="1"/>
  <c r="O24" i="8" s="1"/>
  <c r="R24" i="8" s="1"/>
  <c r="M23" i="8"/>
  <c r="L23" i="8"/>
  <c r="K23" i="8"/>
  <c r="J23" i="8"/>
  <c r="N23" i="8" s="1"/>
  <c r="O23" i="8" s="1"/>
  <c r="R23" i="8" s="1"/>
  <c r="N22" i="8"/>
  <c r="O22" i="8" s="1"/>
  <c r="R22" i="8" s="1"/>
  <c r="M22" i="8"/>
  <c r="L22" i="8"/>
  <c r="K22" i="8"/>
  <c r="J22" i="8"/>
  <c r="M21" i="8"/>
  <c r="N21" i="8" s="1"/>
  <c r="O21" i="8" s="1"/>
  <c r="R21" i="8" s="1"/>
  <c r="L21" i="8"/>
  <c r="K21" i="8"/>
  <c r="J21" i="8"/>
  <c r="M20" i="8"/>
  <c r="L20" i="8"/>
  <c r="K20" i="8"/>
  <c r="J20" i="8"/>
  <c r="N20" i="8" s="1"/>
  <c r="O20" i="8" s="1"/>
  <c r="R20" i="8" s="1"/>
  <c r="N19" i="8"/>
  <c r="O19" i="8" s="1"/>
  <c r="R19" i="8" s="1"/>
  <c r="M19" i="8"/>
  <c r="L19" i="8"/>
  <c r="K19" i="8"/>
  <c r="J19" i="8"/>
  <c r="M18" i="8"/>
  <c r="L18" i="8"/>
  <c r="K18" i="8"/>
  <c r="J18" i="8"/>
  <c r="N18" i="8" s="1"/>
  <c r="O18" i="8" s="1"/>
  <c r="R18" i="8" s="1"/>
  <c r="M17" i="8"/>
  <c r="L17" i="8"/>
  <c r="K17" i="8"/>
  <c r="J17" i="8"/>
  <c r="N17" i="8" s="1"/>
  <c r="O17" i="8" s="1"/>
  <c r="R17" i="8" s="1"/>
  <c r="M16" i="8"/>
  <c r="L16" i="8"/>
  <c r="K16" i="8"/>
  <c r="J16" i="8"/>
  <c r="N16" i="8" s="1"/>
  <c r="O16" i="8" s="1"/>
  <c r="R16" i="8" s="1"/>
  <c r="M15" i="8"/>
  <c r="L15" i="8"/>
  <c r="K15" i="8"/>
  <c r="J15" i="8"/>
  <c r="N15" i="8" s="1"/>
  <c r="O15" i="8" s="1"/>
  <c r="R15" i="8" s="1"/>
  <c r="N14" i="8"/>
  <c r="O14" i="8" s="1"/>
  <c r="R14" i="8" s="1"/>
  <c r="M14" i="8"/>
  <c r="L14" i="8"/>
  <c r="K14" i="8"/>
  <c r="J14" i="8"/>
  <c r="M13" i="8"/>
  <c r="N13" i="8" s="1"/>
  <c r="O13" i="8" s="1"/>
  <c r="R13" i="8" s="1"/>
  <c r="L13" i="8"/>
  <c r="K13" i="8"/>
  <c r="J13" i="8"/>
  <c r="M12" i="8"/>
  <c r="L12" i="8"/>
  <c r="K12" i="8"/>
  <c r="J12" i="8"/>
  <c r="N12" i="8" s="1"/>
  <c r="O12" i="8" s="1"/>
  <c r="R12" i="8" s="1"/>
  <c r="N11" i="8"/>
  <c r="O11" i="8" s="1"/>
  <c r="R11" i="8" s="1"/>
  <c r="M11" i="8"/>
  <c r="L11" i="8"/>
  <c r="K11" i="8"/>
  <c r="J11" i="8"/>
  <c r="M10" i="8"/>
  <c r="L10" i="8"/>
  <c r="K10" i="8"/>
  <c r="J10" i="8"/>
  <c r="N10" i="8" s="1"/>
  <c r="O10" i="8" s="1"/>
  <c r="R10" i="8" s="1"/>
  <c r="M9" i="8"/>
  <c r="L9" i="8"/>
  <c r="K9" i="8"/>
  <c r="J9" i="8"/>
  <c r="N9" i="8" s="1"/>
  <c r="O9" i="8" s="1"/>
  <c r="R9" i="8" s="1"/>
  <c r="M8" i="8"/>
  <c r="L8" i="8"/>
  <c r="K8" i="8"/>
  <c r="J8" i="8"/>
  <c r="N8" i="8" s="1"/>
  <c r="O8" i="8" s="1"/>
  <c r="R8" i="8" s="1"/>
  <c r="M7" i="8"/>
  <c r="L7" i="8"/>
  <c r="K7" i="8"/>
  <c r="J7" i="8"/>
  <c r="N7" i="8" s="1"/>
  <c r="O7" i="8" s="1"/>
  <c r="R7" i="8" s="1"/>
  <c r="N6" i="8"/>
  <c r="O6" i="8" s="1"/>
  <c r="R6" i="8" s="1"/>
  <c r="M6" i="8"/>
  <c r="L6" i="8"/>
  <c r="K6" i="8"/>
  <c r="J6" i="8"/>
  <c r="M5" i="8"/>
  <c r="L5" i="8"/>
  <c r="K5" i="8"/>
  <c r="J5" i="8"/>
  <c r="N5" i="8" s="1"/>
  <c r="O5" i="8" s="1"/>
  <c r="R5" i="8" s="1"/>
  <c r="M4" i="8"/>
  <c r="L4" i="8"/>
  <c r="K4" i="8"/>
  <c r="J4" i="8"/>
  <c r="N4" i="8" s="1"/>
  <c r="O4" i="8" s="1"/>
  <c r="R4" i="8" s="1"/>
  <c r="N3" i="8"/>
  <c r="O3" i="8" s="1"/>
  <c r="R3" i="8" s="1"/>
  <c r="M3" i="8"/>
  <c r="L3" i="8"/>
  <c r="K3" i="8"/>
  <c r="J3" i="8"/>
  <c r="M2" i="8"/>
  <c r="L2" i="8"/>
  <c r="K2" i="8"/>
  <c r="J2" i="8"/>
  <c r="N2" i="8" s="1"/>
  <c r="O2" i="8" s="1"/>
  <c r="R2" i="8" s="1"/>
  <c r="G33" i="7"/>
  <c r="I33" i="7" s="1"/>
  <c r="F33" i="7"/>
  <c r="G32" i="7"/>
  <c r="I32" i="7" s="1"/>
  <c r="F32" i="7"/>
  <c r="G31" i="7"/>
  <c r="I31" i="7" s="1"/>
  <c r="F31" i="7"/>
  <c r="F30" i="7"/>
  <c r="G30" i="7" s="1"/>
  <c r="I30" i="7" s="1"/>
  <c r="F29" i="7"/>
  <c r="G29" i="7" s="1"/>
  <c r="I29" i="7" s="1"/>
  <c r="F28" i="7"/>
  <c r="G28" i="7" s="1"/>
  <c r="I28" i="7" s="1"/>
  <c r="F27" i="7"/>
  <c r="G27" i="7" s="1"/>
  <c r="I27" i="7" s="1"/>
  <c r="F26" i="7"/>
  <c r="G26" i="7" s="1"/>
  <c r="I26" i="7" s="1"/>
  <c r="G25" i="7"/>
  <c r="I25" i="7" s="1"/>
  <c r="F25" i="7"/>
  <c r="G24" i="7"/>
  <c r="I24" i="7" s="1"/>
  <c r="F24" i="7"/>
  <c r="G23" i="7"/>
  <c r="I23" i="7" s="1"/>
  <c r="F23" i="7"/>
  <c r="I22" i="7"/>
  <c r="G22" i="7"/>
  <c r="F22" i="7"/>
  <c r="F21" i="7"/>
  <c r="G21" i="7" s="1"/>
  <c r="I21" i="7" s="1"/>
  <c r="F20" i="7"/>
  <c r="G20" i="7" s="1"/>
  <c r="I20" i="7" s="1"/>
  <c r="F19" i="7"/>
  <c r="G19" i="7" s="1"/>
  <c r="I19" i="7" s="1"/>
  <c r="F18" i="7"/>
  <c r="G18" i="7" s="1"/>
  <c r="I18" i="7" s="1"/>
  <c r="G17" i="7"/>
  <c r="I17" i="7" s="1"/>
  <c r="F17" i="7"/>
  <c r="G16" i="7"/>
  <c r="I16" i="7" s="1"/>
  <c r="F16" i="7"/>
  <c r="G15" i="7"/>
  <c r="I15" i="7" s="1"/>
  <c r="F15" i="7"/>
  <c r="I14" i="7"/>
  <c r="G14" i="7"/>
  <c r="F14" i="7"/>
  <c r="F13" i="7"/>
  <c r="G13" i="7" s="1"/>
  <c r="I13" i="7" s="1"/>
  <c r="F12" i="7"/>
  <c r="G12" i="7" s="1"/>
  <c r="I12" i="7" s="1"/>
  <c r="F11" i="7"/>
  <c r="G11" i="7" s="1"/>
  <c r="I11" i="7" s="1"/>
  <c r="F10" i="7"/>
  <c r="G10" i="7" s="1"/>
  <c r="I10" i="7" s="1"/>
  <c r="G9" i="7"/>
  <c r="I9" i="7" s="1"/>
  <c r="F9" i="7"/>
  <c r="G8" i="7"/>
  <c r="I8" i="7" s="1"/>
  <c r="F8" i="7"/>
  <c r="G7" i="7"/>
  <c r="I7" i="7" s="1"/>
  <c r="F7" i="7"/>
  <c r="I6" i="7"/>
  <c r="G6" i="7"/>
  <c r="F6" i="7"/>
  <c r="F5" i="7"/>
  <c r="G5" i="7" s="1"/>
  <c r="I5" i="7" s="1"/>
  <c r="F4" i="7"/>
  <c r="G4" i="7" s="1"/>
  <c r="I4" i="7" s="1"/>
  <c r="F3" i="7"/>
  <c r="G3" i="7" s="1"/>
  <c r="I3" i="7" s="1"/>
  <c r="F2" i="7"/>
  <c r="G2" i="7" s="1"/>
  <c r="I2" i="7" s="1"/>
  <c r="I32" i="6"/>
  <c r="H32" i="6"/>
  <c r="I31" i="6"/>
  <c r="H31" i="6"/>
  <c r="I30" i="6"/>
  <c r="H30" i="6"/>
  <c r="I29" i="6"/>
  <c r="H29" i="6"/>
  <c r="I28" i="6"/>
  <c r="H28" i="6"/>
  <c r="I27" i="6"/>
  <c r="H27" i="6"/>
  <c r="I26" i="6"/>
  <c r="H26" i="6"/>
  <c r="I25" i="6"/>
  <c r="H25" i="6"/>
  <c r="I24" i="6"/>
  <c r="H24" i="6"/>
  <c r="I23" i="6"/>
  <c r="H23" i="6"/>
  <c r="I22" i="6"/>
  <c r="H22" i="6"/>
  <c r="I21" i="6"/>
  <c r="H21" i="6"/>
  <c r="I20" i="6"/>
  <c r="H20" i="6"/>
  <c r="I19" i="6"/>
  <c r="H19" i="6"/>
  <c r="I18" i="6"/>
  <c r="H18" i="6"/>
  <c r="I17" i="6"/>
  <c r="H17" i="6"/>
  <c r="I16" i="6"/>
  <c r="H16" i="6"/>
  <c r="I15" i="6"/>
  <c r="H15" i="6"/>
  <c r="I14" i="6"/>
  <c r="H14" i="6"/>
  <c r="I13" i="6"/>
  <c r="H13" i="6"/>
  <c r="I12" i="6"/>
  <c r="H12" i="6"/>
  <c r="I11" i="6"/>
  <c r="H11" i="6"/>
  <c r="I10" i="6"/>
  <c r="H10" i="6"/>
  <c r="I9" i="6"/>
  <c r="H9" i="6"/>
  <c r="I8" i="6"/>
  <c r="H8" i="6"/>
  <c r="I7" i="6"/>
  <c r="H7" i="6"/>
  <c r="I6" i="6"/>
  <c r="H6" i="6"/>
  <c r="I5" i="6"/>
  <c r="H5" i="6"/>
  <c r="I4" i="6"/>
  <c r="H4" i="6"/>
  <c r="I3" i="6"/>
  <c r="H3" i="6"/>
  <c r="I2" i="6"/>
  <c r="H2" i="6"/>
  <c r="I1" i="6"/>
  <c r="H1" i="6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1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1" i="4"/>
  <c r="I32" i="5"/>
  <c r="H32" i="5"/>
  <c r="I31" i="5"/>
  <c r="H31" i="5"/>
  <c r="I30" i="5"/>
  <c r="H30" i="5"/>
  <c r="I29" i="5"/>
  <c r="H29" i="5"/>
  <c r="I28" i="5"/>
  <c r="H28" i="5"/>
  <c r="I27" i="5"/>
  <c r="H27" i="5"/>
  <c r="I26" i="5"/>
  <c r="H26" i="5"/>
  <c r="I25" i="5"/>
  <c r="H25" i="5"/>
  <c r="I24" i="5"/>
  <c r="H24" i="5"/>
  <c r="I23" i="5"/>
  <c r="H23" i="5"/>
  <c r="I22" i="5"/>
  <c r="H22" i="5"/>
  <c r="I21" i="5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I5" i="5"/>
  <c r="H5" i="5"/>
  <c r="I4" i="5"/>
  <c r="H4" i="5"/>
  <c r="I3" i="5"/>
  <c r="H3" i="5"/>
  <c r="I2" i="5"/>
  <c r="H2" i="5"/>
  <c r="I1" i="5"/>
  <c r="H1" i="5"/>
  <c r="I32" i="4"/>
  <c r="H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3" i="4"/>
  <c r="H3" i="4"/>
  <c r="I2" i="4"/>
  <c r="H2" i="4"/>
  <c r="I1" i="4"/>
  <c r="H1" i="4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I4" i="3"/>
  <c r="H4" i="3"/>
  <c r="I3" i="3"/>
  <c r="H3" i="3"/>
  <c r="I2" i="3"/>
  <c r="H2" i="3"/>
  <c r="I1" i="3"/>
  <c r="H1" i="3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3" i="2"/>
  <c r="H3" i="2"/>
  <c r="I2" i="2"/>
  <c r="H2" i="2"/>
  <c r="I1" i="2"/>
  <c r="H1" i="2"/>
  <c r="N5" i="9" l="1"/>
  <c r="N19" i="9"/>
  <c r="N27" i="9"/>
  <c r="N3" i="9"/>
  <c r="S3" i="9" s="1"/>
  <c r="N6" i="9"/>
  <c r="N20" i="9"/>
  <c r="S20" i="9" s="1"/>
  <c r="N4" i="9"/>
  <c r="S4" i="9" s="1"/>
  <c r="N16" i="9"/>
  <c r="S16" i="9" s="1"/>
  <c r="S19" i="9"/>
  <c r="S11" i="9"/>
  <c r="N22" i="9"/>
  <c r="S22" i="9" s="1"/>
  <c r="N32" i="9"/>
  <c r="N29" i="9"/>
  <c r="N23" i="9"/>
  <c r="S23" i="9" s="1"/>
  <c r="N8" i="9"/>
  <c r="N12" i="9"/>
  <c r="N14" i="9"/>
  <c r="S27" i="9"/>
  <c r="N10" i="9"/>
  <c r="N24" i="9"/>
  <c r="N28" i="9"/>
  <c r="N30" i="9"/>
  <c r="N7" i="9"/>
  <c r="N9" i="9"/>
  <c r="N18" i="9"/>
  <c r="S32" i="9"/>
  <c r="N15" i="9"/>
  <c r="N17" i="9"/>
  <c r="N26" i="9"/>
  <c r="N13" i="9"/>
  <c r="N25" i="9"/>
  <c r="N2" i="9"/>
  <c r="S2" i="9" s="1"/>
  <c r="N21" i="9"/>
  <c r="N31" i="9"/>
  <c r="N33" i="9"/>
  <c r="S21" i="9" l="1"/>
  <c r="S10" i="9"/>
  <c r="S15" i="9"/>
  <c r="S6" i="9"/>
  <c r="S33" i="9"/>
  <c r="S24" i="9"/>
  <c r="S25" i="9"/>
  <c r="S18" i="9"/>
  <c r="S29" i="9"/>
  <c r="S9" i="9"/>
  <c r="S14" i="9"/>
  <c r="S17" i="9"/>
  <c r="S13" i="9"/>
  <c r="S7" i="9"/>
  <c r="S12" i="9"/>
  <c r="S28" i="9"/>
  <c r="S31" i="9"/>
  <c r="S26" i="9"/>
  <c r="S30" i="9"/>
  <c r="S8" i="9"/>
  <c r="S5" i="9"/>
</calcChain>
</file>

<file path=xl/sharedStrings.xml><?xml version="1.0" encoding="utf-8"?>
<sst xmlns="http://schemas.openxmlformats.org/spreadsheetml/2006/main" count="12" uniqueCount="4">
  <si>
    <t>Pb</t>
    <phoneticPr fontId="1" type="noConversion"/>
  </si>
  <si>
    <t>Ti</t>
    <phoneticPr fontId="1" type="noConversion"/>
  </si>
  <si>
    <t>O2</t>
    <phoneticPr fontId="1" type="noConversion"/>
  </si>
  <si>
    <t>O1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</si>
</sst>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G160"/>
  <sheetViews>
    <sheetView topLeftCell="A118" workbookViewId="0">
      <selection activeCell="A129" sqref="A129:C160"/>
    </sheetView>
  </sheetViews>
  <sheetFormatPr defaultRowHeight="14" x14ac:dyDescent="0.3"/>
  <sheetData>
    <row r="1" spans="5:7" x14ac:dyDescent="0.3">
      <c r="E1">
        <v>0.96886998400000002</v>
      </c>
      <c r="F1">
        <v>0.5</v>
      </c>
      <c r="G1">
        <v>0</v>
      </c>
    </row>
    <row r="2" spans="5:7" x14ac:dyDescent="0.3">
      <c r="E2">
        <v>0.468870014</v>
      </c>
      <c r="F2">
        <v>0.5</v>
      </c>
      <c r="G2">
        <v>0</v>
      </c>
    </row>
    <row r="3" spans="5:7" x14ac:dyDescent="0.3">
      <c r="E3">
        <v>3.1369999000000003E-2</v>
      </c>
      <c r="F3">
        <v>0.5</v>
      </c>
      <c r="G3">
        <v>0</v>
      </c>
    </row>
    <row r="4" spans="5:7" x14ac:dyDescent="0.3">
      <c r="E4">
        <v>0.53136998400000002</v>
      </c>
      <c r="F4">
        <v>0.5</v>
      </c>
      <c r="G4">
        <v>0</v>
      </c>
    </row>
    <row r="5" spans="5:7" x14ac:dyDescent="0.3">
      <c r="E5">
        <v>9.3869998999999996E-2</v>
      </c>
      <c r="F5">
        <v>0.5</v>
      </c>
      <c r="G5">
        <v>0</v>
      </c>
    </row>
    <row r="6" spans="5:7" x14ac:dyDescent="0.3">
      <c r="E6">
        <v>0.59386998400000002</v>
      </c>
      <c r="F6">
        <v>0.5</v>
      </c>
      <c r="G6">
        <v>0</v>
      </c>
    </row>
    <row r="7" spans="5:7" x14ac:dyDescent="0.3">
      <c r="E7">
        <v>0.15636999900000001</v>
      </c>
      <c r="F7">
        <v>0.5</v>
      </c>
      <c r="G7">
        <v>0</v>
      </c>
    </row>
    <row r="8" spans="5:7" x14ac:dyDescent="0.3">
      <c r="E8">
        <v>0.65636998400000002</v>
      </c>
      <c r="F8">
        <v>0.5</v>
      </c>
      <c r="G8">
        <v>0</v>
      </c>
    </row>
    <row r="9" spans="5:7" x14ac:dyDescent="0.3">
      <c r="E9">
        <v>0.21886999900000001</v>
      </c>
      <c r="F9">
        <v>0.5</v>
      </c>
      <c r="G9">
        <v>0</v>
      </c>
    </row>
    <row r="10" spans="5:7" x14ac:dyDescent="0.3">
      <c r="E10">
        <v>0.71886998400000002</v>
      </c>
      <c r="F10">
        <v>0.5</v>
      </c>
      <c r="G10">
        <v>0</v>
      </c>
    </row>
    <row r="11" spans="5:7" x14ac:dyDescent="0.3">
      <c r="E11">
        <v>0.281370014</v>
      </c>
      <c r="F11">
        <v>0.5</v>
      </c>
      <c r="G11">
        <v>0</v>
      </c>
    </row>
    <row r="12" spans="5:7" x14ac:dyDescent="0.3">
      <c r="E12">
        <v>0.78137004399999999</v>
      </c>
      <c r="F12">
        <v>0.5</v>
      </c>
      <c r="G12">
        <v>0</v>
      </c>
    </row>
    <row r="13" spans="5:7" x14ac:dyDescent="0.3">
      <c r="E13">
        <v>0.343870014</v>
      </c>
      <c r="F13">
        <v>0.5</v>
      </c>
      <c r="G13">
        <v>0</v>
      </c>
    </row>
    <row r="14" spans="5:7" x14ac:dyDescent="0.3">
      <c r="E14">
        <v>0.84387004399999999</v>
      </c>
      <c r="F14">
        <v>0.5</v>
      </c>
      <c r="G14">
        <v>0</v>
      </c>
    </row>
    <row r="15" spans="5:7" x14ac:dyDescent="0.3">
      <c r="E15">
        <v>0.406370014</v>
      </c>
      <c r="F15">
        <v>0.5</v>
      </c>
      <c r="G15">
        <v>0</v>
      </c>
    </row>
    <row r="16" spans="5:7" x14ac:dyDescent="0.3">
      <c r="E16">
        <v>0.90637004399999999</v>
      </c>
      <c r="F16">
        <v>0.5</v>
      </c>
      <c r="G16">
        <v>0</v>
      </c>
    </row>
    <row r="17" spans="5:7" x14ac:dyDescent="0.3">
      <c r="E17">
        <v>1.2E-4</v>
      </c>
      <c r="F17">
        <v>0</v>
      </c>
      <c r="G17">
        <v>0</v>
      </c>
    </row>
    <row r="18" spans="5:7" x14ac:dyDescent="0.3">
      <c r="E18">
        <v>0.50011998400000002</v>
      </c>
      <c r="F18">
        <v>0</v>
      </c>
      <c r="G18">
        <v>0</v>
      </c>
    </row>
    <row r="19" spans="5:7" x14ac:dyDescent="0.3">
      <c r="E19">
        <v>6.2619998999999996E-2</v>
      </c>
      <c r="F19">
        <v>0</v>
      </c>
      <c r="G19">
        <v>0</v>
      </c>
    </row>
    <row r="20" spans="5:7" x14ac:dyDescent="0.3">
      <c r="E20">
        <v>0.56261998400000002</v>
      </c>
      <c r="F20">
        <v>0</v>
      </c>
      <c r="G20">
        <v>0</v>
      </c>
    </row>
    <row r="21" spans="5:7" x14ac:dyDescent="0.3">
      <c r="E21">
        <v>0.12511999900000001</v>
      </c>
      <c r="F21">
        <v>0</v>
      </c>
      <c r="G21">
        <v>0</v>
      </c>
    </row>
    <row r="22" spans="5:7" x14ac:dyDescent="0.3">
      <c r="E22">
        <v>0.62511998400000002</v>
      </c>
      <c r="F22">
        <v>0</v>
      </c>
      <c r="G22">
        <v>0</v>
      </c>
    </row>
    <row r="23" spans="5:7" x14ac:dyDescent="0.3">
      <c r="E23">
        <v>0.18761999900000001</v>
      </c>
      <c r="F23">
        <v>0</v>
      </c>
      <c r="G23">
        <v>0</v>
      </c>
    </row>
    <row r="24" spans="5:7" x14ac:dyDescent="0.3">
      <c r="E24">
        <v>0.68761998400000002</v>
      </c>
      <c r="F24">
        <v>0</v>
      </c>
      <c r="G24">
        <v>0</v>
      </c>
    </row>
    <row r="25" spans="5:7" x14ac:dyDescent="0.3">
      <c r="E25">
        <v>0.250120014</v>
      </c>
      <c r="F25">
        <v>0</v>
      </c>
      <c r="G25">
        <v>0</v>
      </c>
    </row>
    <row r="26" spans="5:7" x14ac:dyDescent="0.3">
      <c r="E26">
        <v>0.75012004399999999</v>
      </c>
      <c r="F26">
        <v>0</v>
      </c>
      <c r="G26">
        <v>0</v>
      </c>
    </row>
    <row r="27" spans="5:7" x14ac:dyDescent="0.3">
      <c r="E27">
        <v>0.312620014</v>
      </c>
      <c r="F27">
        <v>0</v>
      </c>
      <c r="G27">
        <v>0</v>
      </c>
    </row>
    <row r="28" spans="5:7" x14ac:dyDescent="0.3">
      <c r="E28">
        <v>0.81262004399999999</v>
      </c>
      <c r="F28">
        <v>0</v>
      </c>
      <c r="G28">
        <v>0</v>
      </c>
    </row>
    <row r="29" spans="5:7" x14ac:dyDescent="0.3">
      <c r="E29">
        <v>0.375120014</v>
      </c>
      <c r="F29">
        <v>0</v>
      </c>
      <c r="G29">
        <v>0</v>
      </c>
    </row>
    <row r="30" spans="5:7" x14ac:dyDescent="0.3">
      <c r="E30">
        <v>0.87512004399999999</v>
      </c>
      <c r="F30">
        <v>0</v>
      </c>
      <c r="G30">
        <v>0</v>
      </c>
    </row>
    <row r="31" spans="5:7" x14ac:dyDescent="0.3">
      <c r="E31">
        <v>0.437620014</v>
      </c>
      <c r="F31">
        <v>0</v>
      </c>
      <c r="G31">
        <v>0</v>
      </c>
    </row>
    <row r="32" spans="5:7" x14ac:dyDescent="0.3">
      <c r="E32">
        <v>0.93762004399999999</v>
      </c>
      <c r="F32">
        <v>0</v>
      </c>
      <c r="G32">
        <v>0</v>
      </c>
    </row>
    <row r="33" spans="5:7" x14ac:dyDescent="0.3">
      <c r="E33">
        <v>1.2E-4</v>
      </c>
      <c r="F33">
        <v>0.5</v>
      </c>
      <c r="G33">
        <v>0.5</v>
      </c>
    </row>
    <row r="34" spans="5:7" x14ac:dyDescent="0.3">
      <c r="E34">
        <v>0.50011998400000002</v>
      </c>
      <c r="F34">
        <v>0.5</v>
      </c>
      <c r="G34">
        <v>0.5</v>
      </c>
    </row>
    <row r="35" spans="5:7" x14ac:dyDescent="0.3">
      <c r="E35">
        <v>6.2619998999999996E-2</v>
      </c>
      <c r="F35">
        <v>0.5</v>
      </c>
      <c r="G35">
        <v>0.5</v>
      </c>
    </row>
    <row r="36" spans="5:7" x14ac:dyDescent="0.3">
      <c r="E36">
        <v>0.56261998400000002</v>
      </c>
      <c r="F36">
        <v>0.5</v>
      </c>
      <c r="G36">
        <v>0.5</v>
      </c>
    </row>
    <row r="37" spans="5:7" x14ac:dyDescent="0.3">
      <c r="E37">
        <v>0.12511999900000001</v>
      </c>
      <c r="F37">
        <v>0.5</v>
      </c>
      <c r="G37">
        <v>0.5</v>
      </c>
    </row>
    <row r="38" spans="5:7" x14ac:dyDescent="0.3">
      <c r="E38">
        <v>0.62511998400000002</v>
      </c>
      <c r="F38">
        <v>0.5</v>
      </c>
      <c r="G38">
        <v>0.5</v>
      </c>
    </row>
    <row r="39" spans="5:7" x14ac:dyDescent="0.3">
      <c r="E39">
        <v>0.18761999900000001</v>
      </c>
      <c r="F39">
        <v>0.5</v>
      </c>
      <c r="G39">
        <v>0.5</v>
      </c>
    </row>
    <row r="40" spans="5:7" x14ac:dyDescent="0.3">
      <c r="E40">
        <v>0.68761998400000002</v>
      </c>
      <c r="F40">
        <v>0.5</v>
      </c>
      <c r="G40">
        <v>0.5</v>
      </c>
    </row>
    <row r="41" spans="5:7" x14ac:dyDescent="0.3">
      <c r="E41">
        <v>0.250120014</v>
      </c>
      <c r="F41">
        <v>0.5</v>
      </c>
      <c r="G41">
        <v>0.5</v>
      </c>
    </row>
    <row r="42" spans="5:7" x14ac:dyDescent="0.3">
      <c r="E42">
        <v>0.75012004399999999</v>
      </c>
      <c r="F42">
        <v>0.5</v>
      </c>
      <c r="G42">
        <v>0.5</v>
      </c>
    </row>
    <row r="43" spans="5:7" x14ac:dyDescent="0.3">
      <c r="E43">
        <v>0.312620014</v>
      </c>
      <c r="F43">
        <v>0.5</v>
      </c>
      <c r="G43">
        <v>0.5</v>
      </c>
    </row>
    <row r="44" spans="5:7" x14ac:dyDescent="0.3">
      <c r="E44">
        <v>0.81262004399999999</v>
      </c>
      <c r="F44">
        <v>0.5</v>
      </c>
      <c r="G44">
        <v>0.5</v>
      </c>
    </row>
    <row r="45" spans="5:7" x14ac:dyDescent="0.3">
      <c r="E45">
        <v>0.375120014</v>
      </c>
      <c r="F45">
        <v>0.5</v>
      </c>
      <c r="G45">
        <v>0.5</v>
      </c>
    </row>
    <row r="46" spans="5:7" x14ac:dyDescent="0.3">
      <c r="E46">
        <v>0.87512004399999999</v>
      </c>
      <c r="F46">
        <v>0.5</v>
      </c>
      <c r="G46">
        <v>0.5</v>
      </c>
    </row>
    <row r="47" spans="5:7" x14ac:dyDescent="0.3">
      <c r="E47">
        <v>0.437620014</v>
      </c>
      <c r="F47">
        <v>0.5</v>
      </c>
      <c r="G47">
        <v>0.5</v>
      </c>
    </row>
    <row r="48" spans="5:7" x14ac:dyDescent="0.3">
      <c r="E48">
        <v>0.93762004399999999</v>
      </c>
      <c r="F48">
        <v>0.5</v>
      </c>
      <c r="G48">
        <v>0.5</v>
      </c>
    </row>
    <row r="49" spans="5:7" x14ac:dyDescent="0.3">
      <c r="E49">
        <v>3.1369999000000003E-2</v>
      </c>
      <c r="F49">
        <v>0</v>
      </c>
      <c r="G49">
        <v>0.5</v>
      </c>
    </row>
    <row r="50" spans="5:7" x14ac:dyDescent="0.3">
      <c r="E50">
        <v>0.53136998400000002</v>
      </c>
      <c r="F50">
        <v>0</v>
      </c>
      <c r="G50">
        <v>0.5</v>
      </c>
    </row>
    <row r="51" spans="5:7" x14ac:dyDescent="0.3">
      <c r="E51">
        <v>9.3869998999999996E-2</v>
      </c>
      <c r="F51">
        <v>0</v>
      </c>
      <c r="G51">
        <v>0.5</v>
      </c>
    </row>
    <row r="52" spans="5:7" x14ac:dyDescent="0.3">
      <c r="E52">
        <v>0.59386998400000002</v>
      </c>
      <c r="F52">
        <v>0</v>
      </c>
      <c r="G52">
        <v>0.5</v>
      </c>
    </row>
    <row r="53" spans="5:7" x14ac:dyDescent="0.3">
      <c r="E53">
        <v>0.15636999900000001</v>
      </c>
      <c r="F53">
        <v>0</v>
      </c>
      <c r="G53">
        <v>0.5</v>
      </c>
    </row>
    <row r="54" spans="5:7" x14ac:dyDescent="0.3">
      <c r="E54">
        <v>0.65636998400000002</v>
      </c>
      <c r="F54">
        <v>0</v>
      </c>
      <c r="G54">
        <v>0.5</v>
      </c>
    </row>
    <row r="55" spans="5:7" x14ac:dyDescent="0.3">
      <c r="E55">
        <v>0.21886999900000001</v>
      </c>
      <c r="F55">
        <v>0</v>
      </c>
      <c r="G55">
        <v>0.5</v>
      </c>
    </row>
    <row r="56" spans="5:7" x14ac:dyDescent="0.3">
      <c r="E56">
        <v>0.71886998400000002</v>
      </c>
      <c r="F56">
        <v>0</v>
      </c>
      <c r="G56">
        <v>0.5</v>
      </c>
    </row>
    <row r="57" spans="5:7" x14ac:dyDescent="0.3">
      <c r="E57">
        <v>0.281370014</v>
      </c>
      <c r="F57">
        <v>0</v>
      </c>
      <c r="G57">
        <v>0.5</v>
      </c>
    </row>
    <row r="58" spans="5:7" x14ac:dyDescent="0.3">
      <c r="E58">
        <v>0.78137004399999999</v>
      </c>
      <c r="F58">
        <v>0</v>
      </c>
      <c r="G58">
        <v>0.5</v>
      </c>
    </row>
    <row r="59" spans="5:7" x14ac:dyDescent="0.3">
      <c r="E59">
        <v>0.343870014</v>
      </c>
      <c r="F59">
        <v>0</v>
      </c>
      <c r="G59">
        <v>0.5</v>
      </c>
    </row>
    <row r="60" spans="5:7" x14ac:dyDescent="0.3">
      <c r="E60">
        <v>0.84387004399999999</v>
      </c>
      <c r="F60">
        <v>0</v>
      </c>
      <c r="G60">
        <v>0.5</v>
      </c>
    </row>
    <row r="61" spans="5:7" x14ac:dyDescent="0.3">
      <c r="E61">
        <v>0.406370014</v>
      </c>
      <c r="F61">
        <v>0</v>
      </c>
      <c r="G61">
        <v>0.5</v>
      </c>
    </row>
    <row r="62" spans="5:7" x14ac:dyDescent="0.3">
      <c r="E62">
        <v>0.90637004399999999</v>
      </c>
      <c r="F62">
        <v>0</v>
      </c>
      <c r="G62">
        <v>0.5</v>
      </c>
    </row>
    <row r="63" spans="5:7" x14ac:dyDescent="0.3">
      <c r="E63">
        <v>0.468870014</v>
      </c>
      <c r="F63">
        <v>0</v>
      </c>
      <c r="G63">
        <v>0.5</v>
      </c>
    </row>
    <row r="64" spans="5:7" x14ac:dyDescent="0.3">
      <c r="E64">
        <v>0.96887004399999999</v>
      </c>
      <c r="F64">
        <v>0</v>
      </c>
      <c r="G64">
        <v>0.5</v>
      </c>
    </row>
    <row r="65" spans="5:7" x14ac:dyDescent="0.3">
      <c r="E65">
        <v>0.98448997699999996</v>
      </c>
      <c r="F65">
        <v>0.25</v>
      </c>
      <c r="G65">
        <v>0.5</v>
      </c>
    </row>
    <row r="66" spans="5:7" x14ac:dyDescent="0.3">
      <c r="E66">
        <v>0.484490007</v>
      </c>
      <c r="F66">
        <v>0.75</v>
      </c>
      <c r="G66">
        <v>0.5</v>
      </c>
    </row>
    <row r="67" spans="5:7" x14ac:dyDescent="0.3">
      <c r="E67">
        <v>4.6989999999999997E-2</v>
      </c>
      <c r="F67">
        <v>0.25</v>
      </c>
      <c r="G67">
        <v>0.5</v>
      </c>
    </row>
    <row r="68" spans="5:7" x14ac:dyDescent="0.3">
      <c r="E68">
        <v>0.54698997699999996</v>
      </c>
      <c r="F68">
        <v>0.75</v>
      </c>
      <c r="G68">
        <v>0.5</v>
      </c>
    </row>
    <row r="69" spans="5:7" x14ac:dyDescent="0.3">
      <c r="E69">
        <v>0.10949</v>
      </c>
      <c r="F69">
        <v>0.25</v>
      </c>
      <c r="G69">
        <v>0.5</v>
      </c>
    </row>
    <row r="70" spans="5:7" x14ac:dyDescent="0.3">
      <c r="E70">
        <v>0.60948997699999996</v>
      </c>
      <c r="F70">
        <v>0.75</v>
      </c>
      <c r="G70">
        <v>0.5</v>
      </c>
    </row>
    <row r="71" spans="5:7" x14ac:dyDescent="0.3">
      <c r="E71">
        <v>0.171990007</v>
      </c>
      <c r="F71">
        <v>0.25</v>
      </c>
      <c r="G71">
        <v>0.5</v>
      </c>
    </row>
    <row r="72" spans="5:7" x14ac:dyDescent="0.3">
      <c r="E72">
        <v>0.67199003700000004</v>
      </c>
      <c r="F72">
        <v>0.75</v>
      </c>
      <c r="G72">
        <v>0.5</v>
      </c>
    </row>
    <row r="73" spans="5:7" x14ac:dyDescent="0.3">
      <c r="E73">
        <v>0.234490007</v>
      </c>
      <c r="F73">
        <v>0.25</v>
      </c>
      <c r="G73">
        <v>0.5</v>
      </c>
    </row>
    <row r="74" spans="5:7" x14ac:dyDescent="0.3">
      <c r="E74">
        <v>0.73449003700000004</v>
      </c>
      <c r="F74">
        <v>0.75</v>
      </c>
      <c r="G74">
        <v>0.5</v>
      </c>
    </row>
    <row r="75" spans="5:7" x14ac:dyDescent="0.3">
      <c r="E75">
        <v>0.296990007</v>
      </c>
      <c r="F75">
        <v>0.25</v>
      </c>
      <c r="G75">
        <v>0.5</v>
      </c>
    </row>
    <row r="76" spans="5:7" x14ac:dyDescent="0.3">
      <c r="E76">
        <v>0.79699003700000004</v>
      </c>
      <c r="F76">
        <v>0.75</v>
      </c>
      <c r="G76">
        <v>0.5</v>
      </c>
    </row>
    <row r="77" spans="5:7" x14ac:dyDescent="0.3">
      <c r="E77">
        <v>0.359490007</v>
      </c>
      <c r="F77">
        <v>0.25</v>
      </c>
      <c r="G77">
        <v>0.5</v>
      </c>
    </row>
    <row r="78" spans="5:7" x14ac:dyDescent="0.3">
      <c r="E78">
        <v>0.85949003700000004</v>
      </c>
      <c r="F78">
        <v>0.75</v>
      </c>
      <c r="G78">
        <v>0.5</v>
      </c>
    </row>
    <row r="79" spans="5:7" x14ac:dyDescent="0.3">
      <c r="E79">
        <v>0.421990007</v>
      </c>
      <c r="F79">
        <v>0.25</v>
      </c>
      <c r="G79">
        <v>0.5</v>
      </c>
    </row>
    <row r="80" spans="5:7" x14ac:dyDescent="0.3">
      <c r="E80">
        <v>0.92199003700000004</v>
      </c>
      <c r="F80">
        <v>0.75</v>
      </c>
      <c r="G80">
        <v>0.5</v>
      </c>
    </row>
    <row r="81" spans="5:7" x14ac:dyDescent="0.3">
      <c r="E81">
        <v>0.484490007</v>
      </c>
      <c r="F81">
        <v>0.25</v>
      </c>
      <c r="G81">
        <v>0.5</v>
      </c>
    </row>
    <row r="82" spans="5:7" x14ac:dyDescent="0.3">
      <c r="E82">
        <v>0.98449003700000004</v>
      </c>
      <c r="F82">
        <v>0.75</v>
      </c>
      <c r="G82">
        <v>0.5</v>
      </c>
    </row>
    <row r="83" spans="5:7" x14ac:dyDescent="0.3">
      <c r="E83">
        <v>0.54698997699999996</v>
      </c>
      <c r="F83">
        <v>0.25</v>
      </c>
      <c r="G83">
        <v>0.5</v>
      </c>
    </row>
    <row r="84" spans="5:7" x14ac:dyDescent="0.3">
      <c r="E84">
        <v>4.6989977000000002E-2</v>
      </c>
      <c r="F84">
        <v>0.75</v>
      </c>
      <c r="G84">
        <v>0.5</v>
      </c>
    </row>
    <row r="85" spans="5:7" x14ac:dyDescent="0.3">
      <c r="E85">
        <v>0.60948997699999996</v>
      </c>
      <c r="F85">
        <v>0.25</v>
      </c>
      <c r="G85">
        <v>0.5</v>
      </c>
    </row>
    <row r="86" spans="5:7" x14ac:dyDescent="0.3">
      <c r="E86">
        <v>0.109489977</v>
      </c>
      <c r="F86">
        <v>0.75</v>
      </c>
      <c r="G86">
        <v>0.5</v>
      </c>
    </row>
    <row r="87" spans="5:7" x14ac:dyDescent="0.3">
      <c r="E87">
        <v>0.67198997699999996</v>
      </c>
      <c r="F87">
        <v>0.25</v>
      </c>
      <c r="G87">
        <v>0.5</v>
      </c>
    </row>
    <row r="88" spans="5:7" x14ac:dyDescent="0.3">
      <c r="E88">
        <v>0.17198997699999999</v>
      </c>
      <c r="F88">
        <v>0.75</v>
      </c>
      <c r="G88">
        <v>0.5</v>
      </c>
    </row>
    <row r="89" spans="5:7" x14ac:dyDescent="0.3">
      <c r="E89">
        <v>0.73448997699999996</v>
      </c>
      <c r="F89">
        <v>0.25</v>
      </c>
      <c r="G89">
        <v>0.5</v>
      </c>
    </row>
    <row r="90" spans="5:7" x14ac:dyDescent="0.3">
      <c r="E90">
        <v>0.23448997699999999</v>
      </c>
      <c r="F90">
        <v>0.75</v>
      </c>
      <c r="G90">
        <v>0.5</v>
      </c>
    </row>
    <row r="91" spans="5:7" x14ac:dyDescent="0.3">
      <c r="E91">
        <v>0.79698997699999996</v>
      </c>
      <c r="F91">
        <v>0.25</v>
      </c>
      <c r="G91">
        <v>0.5</v>
      </c>
    </row>
    <row r="92" spans="5:7" x14ac:dyDescent="0.3">
      <c r="E92">
        <v>0.29698997700000002</v>
      </c>
      <c r="F92">
        <v>0.75</v>
      </c>
      <c r="G92">
        <v>0.5</v>
      </c>
    </row>
    <row r="93" spans="5:7" x14ac:dyDescent="0.3">
      <c r="E93">
        <v>0.85948997699999996</v>
      </c>
      <c r="F93">
        <v>0.25</v>
      </c>
      <c r="G93">
        <v>0.5</v>
      </c>
    </row>
    <row r="94" spans="5:7" x14ac:dyDescent="0.3">
      <c r="E94">
        <v>0.35948997700000002</v>
      </c>
      <c r="F94">
        <v>0.75</v>
      </c>
      <c r="G94">
        <v>0.5</v>
      </c>
    </row>
    <row r="95" spans="5:7" x14ac:dyDescent="0.3">
      <c r="E95">
        <v>0.92198997699999996</v>
      </c>
      <c r="F95">
        <v>0.25</v>
      </c>
      <c r="G95">
        <v>0.5</v>
      </c>
    </row>
    <row r="96" spans="5:7" x14ac:dyDescent="0.3">
      <c r="E96">
        <v>0.421990007</v>
      </c>
      <c r="F96">
        <v>0.75</v>
      </c>
      <c r="G96">
        <v>0.5</v>
      </c>
    </row>
    <row r="97" spans="5:7" x14ac:dyDescent="0.3">
      <c r="E97">
        <v>1.5740000000000001E-2</v>
      </c>
      <c r="F97">
        <v>0.75</v>
      </c>
      <c r="G97">
        <v>0.5</v>
      </c>
    </row>
    <row r="98" spans="5:7" x14ac:dyDescent="0.3">
      <c r="E98">
        <v>0.51573997699999996</v>
      </c>
      <c r="F98">
        <v>0.25</v>
      </c>
      <c r="G98">
        <v>0.5</v>
      </c>
    </row>
    <row r="99" spans="5:7" x14ac:dyDescent="0.3">
      <c r="E99">
        <v>7.8240000000000004E-2</v>
      </c>
      <c r="F99">
        <v>0.75</v>
      </c>
      <c r="G99">
        <v>0.5</v>
      </c>
    </row>
    <row r="100" spans="5:7" x14ac:dyDescent="0.3">
      <c r="E100">
        <v>0.57823997699999996</v>
      </c>
      <c r="F100">
        <v>0.25</v>
      </c>
      <c r="G100">
        <v>0.5</v>
      </c>
    </row>
    <row r="101" spans="5:7" x14ac:dyDescent="0.3">
      <c r="E101">
        <v>0.140740007</v>
      </c>
      <c r="F101">
        <v>0.75</v>
      </c>
      <c r="G101">
        <v>0.5</v>
      </c>
    </row>
    <row r="102" spans="5:7" x14ac:dyDescent="0.3">
      <c r="E102">
        <v>0.64074003700000004</v>
      </c>
      <c r="F102">
        <v>0.25</v>
      </c>
      <c r="G102">
        <v>0.5</v>
      </c>
    </row>
    <row r="103" spans="5:7" x14ac:dyDescent="0.3">
      <c r="E103">
        <v>0.203240007</v>
      </c>
      <c r="F103">
        <v>0.75</v>
      </c>
      <c r="G103">
        <v>0.5</v>
      </c>
    </row>
    <row r="104" spans="5:7" x14ac:dyDescent="0.3">
      <c r="E104">
        <v>0.70324003700000004</v>
      </c>
      <c r="F104">
        <v>0.25</v>
      </c>
      <c r="G104">
        <v>0.5</v>
      </c>
    </row>
    <row r="105" spans="5:7" x14ac:dyDescent="0.3">
      <c r="E105">
        <v>0.265740007</v>
      </c>
      <c r="F105">
        <v>0.75</v>
      </c>
      <c r="G105">
        <v>0.5</v>
      </c>
    </row>
    <row r="106" spans="5:7" x14ac:dyDescent="0.3">
      <c r="E106">
        <v>0.76574003700000004</v>
      </c>
      <c r="F106">
        <v>0.25</v>
      </c>
      <c r="G106">
        <v>0.5</v>
      </c>
    </row>
    <row r="107" spans="5:7" x14ac:dyDescent="0.3">
      <c r="E107">
        <v>0.328240007</v>
      </c>
      <c r="F107">
        <v>0.75</v>
      </c>
      <c r="G107">
        <v>0.5</v>
      </c>
    </row>
    <row r="108" spans="5:7" x14ac:dyDescent="0.3">
      <c r="E108">
        <v>0.82824003700000004</v>
      </c>
      <c r="F108">
        <v>0.25</v>
      </c>
      <c r="G108">
        <v>0.5</v>
      </c>
    </row>
    <row r="109" spans="5:7" x14ac:dyDescent="0.3">
      <c r="E109">
        <v>0.390740007</v>
      </c>
      <c r="F109">
        <v>0.75</v>
      </c>
      <c r="G109">
        <v>0.5</v>
      </c>
    </row>
    <row r="110" spans="5:7" x14ac:dyDescent="0.3">
      <c r="E110">
        <v>0.89074003700000004</v>
      </c>
      <c r="F110">
        <v>0.25</v>
      </c>
      <c r="G110">
        <v>0.5</v>
      </c>
    </row>
    <row r="111" spans="5:7" x14ac:dyDescent="0.3">
      <c r="E111">
        <v>0.453240007</v>
      </c>
      <c r="F111">
        <v>0.75</v>
      </c>
      <c r="G111">
        <v>0.5</v>
      </c>
    </row>
    <row r="112" spans="5:7" x14ac:dyDescent="0.3">
      <c r="E112">
        <v>0.95324003700000004</v>
      </c>
      <c r="F112">
        <v>0.25</v>
      </c>
      <c r="G112">
        <v>0.5</v>
      </c>
    </row>
    <row r="113" spans="5:7" x14ac:dyDescent="0.3">
      <c r="E113">
        <v>0.51573997699999996</v>
      </c>
      <c r="F113">
        <v>0.75</v>
      </c>
      <c r="G113">
        <v>0.5</v>
      </c>
    </row>
    <row r="114" spans="5:7" x14ac:dyDescent="0.3">
      <c r="E114">
        <v>1.5739976999999999E-2</v>
      </c>
      <c r="F114">
        <v>0.25</v>
      </c>
      <c r="G114">
        <v>0.5</v>
      </c>
    </row>
    <row r="115" spans="5:7" x14ac:dyDescent="0.3">
      <c r="E115">
        <v>0.57823997699999996</v>
      </c>
      <c r="F115">
        <v>0.75</v>
      </c>
      <c r="G115">
        <v>0.5</v>
      </c>
    </row>
    <row r="116" spans="5:7" x14ac:dyDescent="0.3">
      <c r="E116">
        <v>7.8239977000000002E-2</v>
      </c>
      <c r="F116">
        <v>0.25</v>
      </c>
      <c r="G116">
        <v>0.5</v>
      </c>
    </row>
    <row r="117" spans="5:7" x14ac:dyDescent="0.3">
      <c r="E117">
        <v>0.64073997699999996</v>
      </c>
      <c r="F117">
        <v>0.75</v>
      </c>
      <c r="G117">
        <v>0.5</v>
      </c>
    </row>
    <row r="118" spans="5:7" x14ac:dyDescent="0.3">
      <c r="E118">
        <v>0.14073997699999999</v>
      </c>
      <c r="F118">
        <v>0.25</v>
      </c>
      <c r="G118">
        <v>0.5</v>
      </c>
    </row>
    <row r="119" spans="5:7" x14ac:dyDescent="0.3">
      <c r="E119">
        <v>0.70323997699999996</v>
      </c>
      <c r="F119">
        <v>0.75</v>
      </c>
      <c r="G119">
        <v>0.5</v>
      </c>
    </row>
    <row r="120" spans="5:7" x14ac:dyDescent="0.3">
      <c r="E120">
        <v>0.20323997699999999</v>
      </c>
      <c r="F120">
        <v>0.25</v>
      </c>
      <c r="G120">
        <v>0.5</v>
      </c>
    </row>
    <row r="121" spans="5:7" x14ac:dyDescent="0.3">
      <c r="E121">
        <v>0.76573997699999996</v>
      </c>
      <c r="F121">
        <v>0.75</v>
      </c>
      <c r="G121">
        <v>0.5</v>
      </c>
    </row>
    <row r="122" spans="5:7" x14ac:dyDescent="0.3">
      <c r="E122">
        <v>0.26573997700000002</v>
      </c>
      <c r="F122">
        <v>0.25</v>
      </c>
      <c r="G122">
        <v>0.5</v>
      </c>
    </row>
    <row r="123" spans="5:7" x14ac:dyDescent="0.3">
      <c r="E123">
        <v>0.82823997699999996</v>
      </c>
      <c r="F123">
        <v>0.75</v>
      </c>
      <c r="G123">
        <v>0.5</v>
      </c>
    </row>
    <row r="124" spans="5:7" x14ac:dyDescent="0.3">
      <c r="E124">
        <v>0.32823997700000002</v>
      </c>
      <c r="F124">
        <v>0.25</v>
      </c>
      <c r="G124">
        <v>0.5</v>
      </c>
    </row>
    <row r="125" spans="5:7" x14ac:dyDescent="0.3">
      <c r="E125">
        <v>0.89073997699999996</v>
      </c>
      <c r="F125">
        <v>0.75</v>
      </c>
      <c r="G125">
        <v>0.5</v>
      </c>
    </row>
    <row r="126" spans="5:7" x14ac:dyDescent="0.3">
      <c r="E126">
        <v>0.39073997700000002</v>
      </c>
      <c r="F126">
        <v>0.25</v>
      </c>
      <c r="G126">
        <v>0.5</v>
      </c>
    </row>
    <row r="127" spans="5:7" x14ac:dyDescent="0.3">
      <c r="E127">
        <v>0.95323997699999996</v>
      </c>
      <c r="F127">
        <v>0.75</v>
      </c>
      <c r="G127">
        <v>0.5</v>
      </c>
    </row>
    <row r="128" spans="5:7" x14ac:dyDescent="0.3">
      <c r="E128">
        <v>0.453240007</v>
      </c>
      <c r="F128">
        <v>0.25</v>
      </c>
      <c r="G128">
        <v>0.5</v>
      </c>
    </row>
    <row r="129" spans="5:7" x14ac:dyDescent="0.3">
      <c r="E129">
        <v>1.2E-4</v>
      </c>
      <c r="F129">
        <v>0.5</v>
      </c>
      <c r="G129">
        <v>0</v>
      </c>
    </row>
    <row r="130" spans="5:7" x14ac:dyDescent="0.3">
      <c r="E130">
        <v>0.50011998400000002</v>
      </c>
      <c r="F130">
        <v>0.5</v>
      </c>
      <c r="G130">
        <v>0</v>
      </c>
    </row>
    <row r="131" spans="5:7" x14ac:dyDescent="0.3">
      <c r="E131">
        <v>6.2619998999999996E-2</v>
      </c>
      <c r="F131">
        <v>0.5</v>
      </c>
      <c r="G131">
        <v>0</v>
      </c>
    </row>
    <row r="132" spans="5:7" x14ac:dyDescent="0.3">
      <c r="E132">
        <v>0.56261998400000002</v>
      </c>
      <c r="F132">
        <v>0.5</v>
      </c>
      <c r="G132">
        <v>0</v>
      </c>
    </row>
    <row r="133" spans="5:7" x14ac:dyDescent="0.3">
      <c r="E133">
        <v>0.12511999900000001</v>
      </c>
      <c r="F133">
        <v>0.5</v>
      </c>
      <c r="G133">
        <v>0</v>
      </c>
    </row>
    <row r="134" spans="5:7" x14ac:dyDescent="0.3">
      <c r="E134">
        <v>0.62511998400000002</v>
      </c>
      <c r="F134">
        <v>0.5</v>
      </c>
      <c r="G134">
        <v>0</v>
      </c>
    </row>
    <row r="135" spans="5:7" x14ac:dyDescent="0.3">
      <c r="E135">
        <v>0.18761999900000001</v>
      </c>
      <c r="F135">
        <v>0.5</v>
      </c>
      <c r="G135">
        <v>0</v>
      </c>
    </row>
    <row r="136" spans="5:7" x14ac:dyDescent="0.3">
      <c r="E136">
        <v>0.68761998400000002</v>
      </c>
      <c r="F136">
        <v>0.5</v>
      </c>
      <c r="G136">
        <v>0</v>
      </c>
    </row>
    <row r="137" spans="5:7" x14ac:dyDescent="0.3">
      <c r="E137">
        <v>0.250120014</v>
      </c>
      <c r="F137">
        <v>0.5</v>
      </c>
      <c r="G137">
        <v>0</v>
      </c>
    </row>
    <row r="138" spans="5:7" x14ac:dyDescent="0.3">
      <c r="E138">
        <v>0.75012004399999999</v>
      </c>
      <c r="F138">
        <v>0.5</v>
      </c>
      <c r="G138">
        <v>0</v>
      </c>
    </row>
    <row r="139" spans="5:7" x14ac:dyDescent="0.3">
      <c r="E139">
        <v>0.312620014</v>
      </c>
      <c r="F139">
        <v>0.5</v>
      </c>
      <c r="G139">
        <v>0</v>
      </c>
    </row>
    <row r="140" spans="5:7" x14ac:dyDescent="0.3">
      <c r="E140">
        <v>0.81262004399999999</v>
      </c>
      <c r="F140">
        <v>0.5</v>
      </c>
      <c r="G140">
        <v>0</v>
      </c>
    </row>
    <row r="141" spans="5:7" x14ac:dyDescent="0.3">
      <c r="E141">
        <v>0.375120014</v>
      </c>
      <c r="F141">
        <v>0.5</v>
      </c>
      <c r="G141">
        <v>0</v>
      </c>
    </row>
    <row r="142" spans="5:7" x14ac:dyDescent="0.3">
      <c r="E142">
        <v>0.87512004399999999</v>
      </c>
      <c r="F142">
        <v>0.5</v>
      </c>
      <c r="G142">
        <v>0</v>
      </c>
    </row>
    <row r="143" spans="5:7" x14ac:dyDescent="0.3">
      <c r="E143">
        <v>0.437620014</v>
      </c>
      <c r="F143">
        <v>0.5</v>
      </c>
      <c r="G143">
        <v>0</v>
      </c>
    </row>
    <row r="144" spans="5:7" x14ac:dyDescent="0.3">
      <c r="E144">
        <v>0.93762004399999999</v>
      </c>
      <c r="F144">
        <v>0.5</v>
      </c>
      <c r="G144">
        <v>0</v>
      </c>
    </row>
    <row r="145" spans="5:7" x14ac:dyDescent="0.3">
      <c r="E145">
        <v>3.1369999000000003E-2</v>
      </c>
      <c r="F145">
        <v>0</v>
      </c>
      <c r="G145">
        <v>0</v>
      </c>
    </row>
    <row r="146" spans="5:7" x14ac:dyDescent="0.3">
      <c r="E146">
        <v>0.53136998400000002</v>
      </c>
      <c r="F146">
        <v>0</v>
      </c>
      <c r="G146">
        <v>0</v>
      </c>
    </row>
    <row r="147" spans="5:7" x14ac:dyDescent="0.3">
      <c r="E147">
        <v>9.3869998999999996E-2</v>
      </c>
      <c r="F147">
        <v>0</v>
      </c>
      <c r="G147">
        <v>0</v>
      </c>
    </row>
    <row r="148" spans="5:7" x14ac:dyDescent="0.3">
      <c r="E148">
        <v>0.59386998400000002</v>
      </c>
      <c r="F148">
        <v>0</v>
      </c>
      <c r="G148">
        <v>0</v>
      </c>
    </row>
    <row r="149" spans="5:7" x14ac:dyDescent="0.3">
      <c r="E149">
        <v>0.15636999900000001</v>
      </c>
      <c r="F149">
        <v>0</v>
      </c>
      <c r="G149">
        <v>0</v>
      </c>
    </row>
    <row r="150" spans="5:7" x14ac:dyDescent="0.3">
      <c r="E150">
        <v>0.65636998400000002</v>
      </c>
      <c r="F150">
        <v>0</v>
      </c>
      <c r="G150">
        <v>0</v>
      </c>
    </row>
    <row r="151" spans="5:7" x14ac:dyDescent="0.3">
      <c r="E151">
        <v>0.21886999900000001</v>
      </c>
      <c r="F151">
        <v>0</v>
      </c>
      <c r="G151">
        <v>0</v>
      </c>
    </row>
    <row r="152" spans="5:7" x14ac:dyDescent="0.3">
      <c r="E152">
        <v>0.71886998400000002</v>
      </c>
      <c r="F152">
        <v>0</v>
      </c>
      <c r="G152">
        <v>0</v>
      </c>
    </row>
    <row r="153" spans="5:7" x14ac:dyDescent="0.3">
      <c r="E153">
        <v>0.281370014</v>
      </c>
      <c r="F153">
        <v>0</v>
      </c>
      <c r="G153">
        <v>0</v>
      </c>
    </row>
    <row r="154" spans="5:7" x14ac:dyDescent="0.3">
      <c r="E154">
        <v>0.78137004399999999</v>
      </c>
      <c r="F154">
        <v>0</v>
      </c>
      <c r="G154">
        <v>0</v>
      </c>
    </row>
    <row r="155" spans="5:7" x14ac:dyDescent="0.3">
      <c r="E155">
        <v>0.343870014</v>
      </c>
      <c r="F155">
        <v>0</v>
      </c>
      <c r="G155">
        <v>0</v>
      </c>
    </row>
    <row r="156" spans="5:7" x14ac:dyDescent="0.3">
      <c r="E156">
        <v>0.84387004399999999</v>
      </c>
      <c r="F156">
        <v>0</v>
      </c>
      <c r="G156">
        <v>0</v>
      </c>
    </row>
    <row r="157" spans="5:7" x14ac:dyDescent="0.3">
      <c r="E157">
        <v>0.406370014</v>
      </c>
      <c r="F157">
        <v>0</v>
      </c>
      <c r="G157">
        <v>0</v>
      </c>
    </row>
    <row r="158" spans="5:7" x14ac:dyDescent="0.3">
      <c r="E158">
        <v>0.90637004399999999</v>
      </c>
      <c r="F158">
        <v>0</v>
      </c>
      <c r="G158">
        <v>0</v>
      </c>
    </row>
    <row r="159" spans="5:7" x14ac:dyDescent="0.3">
      <c r="E159">
        <v>0.468870014</v>
      </c>
      <c r="F159">
        <v>0</v>
      </c>
      <c r="G159">
        <v>0</v>
      </c>
    </row>
    <row r="160" spans="5:7" x14ac:dyDescent="0.3">
      <c r="E160">
        <v>0.96887004399999999</v>
      </c>
      <c r="F160">
        <v>0</v>
      </c>
      <c r="G160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73601-FD6A-42C4-8EC3-95B4F8A26E48}">
  <dimension ref="A1:I32"/>
  <sheetViews>
    <sheetView workbookViewId="0">
      <selection activeCell="I1" sqref="I1:I32"/>
    </sheetView>
  </sheetViews>
  <sheetFormatPr defaultRowHeight="14" x14ac:dyDescent="0.3"/>
  <sheetData>
    <row r="1" spans="1:9" x14ac:dyDescent="0.3">
      <c r="A1">
        <v>1.2E-4</v>
      </c>
      <c r="B1">
        <v>0.87783998299999999</v>
      </c>
      <c r="C1">
        <v>0</v>
      </c>
      <c r="E1">
        <v>1.2E-4</v>
      </c>
      <c r="F1">
        <v>0</v>
      </c>
      <c r="G1">
        <v>0</v>
      </c>
      <c r="H1">
        <f>A1-E1</f>
        <v>0</v>
      </c>
      <c r="I1">
        <f>B1-F1-1</f>
        <v>-0.12216001700000001</v>
      </c>
    </row>
    <row r="2" spans="1:9" x14ac:dyDescent="0.3">
      <c r="A2">
        <v>3.1369999000000003E-2</v>
      </c>
      <c r="B2">
        <v>0.39513000799999998</v>
      </c>
      <c r="C2">
        <v>0</v>
      </c>
      <c r="E2">
        <v>3.1369999000000003E-2</v>
      </c>
      <c r="F2">
        <v>0.5</v>
      </c>
      <c r="G2">
        <v>0</v>
      </c>
      <c r="H2">
        <f t="shared" ref="H2:I32" si="0">A2-E2</f>
        <v>0</v>
      </c>
      <c r="I2">
        <f t="shared" si="0"/>
        <v>-0.10486999200000002</v>
      </c>
    </row>
    <row r="3" spans="1:9" x14ac:dyDescent="0.3">
      <c r="A3">
        <v>6.2619998999999996E-2</v>
      </c>
      <c r="B3">
        <v>0.91645997800000001</v>
      </c>
      <c r="C3">
        <v>0</v>
      </c>
      <c r="E3">
        <v>6.2619998999999996E-2</v>
      </c>
      <c r="F3">
        <v>0</v>
      </c>
      <c r="G3">
        <v>0</v>
      </c>
      <c r="H3">
        <f t="shared" si="0"/>
        <v>0</v>
      </c>
      <c r="I3">
        <f>B3-F3-1</f>
        <v>-8.3540021999999992E-2</v>
      </c>
    </row>
    <row r="4" spans="1:9" x14ac:dyDescent="0.3">
      <c r="A4">
        <v>9.3869998999999996E-2</v>
      </c>
      <c r="B4">
        <v>0.44099000100000002</v>
      </c>
      <c r="C4">
        <v>0</v>
      </c>
      <c r="E4">
        <v>9.3869998999999996E-2</v>
      </c>
      <c r="F4">
        <v>0.5</v>
      </c>
      <c r="G4">
        <v>0</v>
      </c>
      <c r="H4">
        <f t="shared" si="0"/>
        <v>0</v>
      </c>
      <c r="I4">
        <f t="shared" si="0"/>
        <v>-5.900999899999998E-2</v>
      </c>
    </row>
    <row r="5" spans="1:9" x14ac:dyDescent="0.3">
      <c r="A5">
        <v>0.12511999900000001</v>
      </c>
      <c r="B5">
        <v>0.96779000800000003</v>
      </c>
      <c r="C5">
        <v>0</v>
      </c>
      <c r="E5">
        <v>0.12511999900000001</v>
      </c>
      <c r="F5">
        <v>0</v>
      </c>
      <c r="G5">
        <v>0</v>
      </c>
      <c r="H5">
        <f t="shared" si="0"/>
        <v>0</v>
      </c>
      <c r="I5">
        <f>B5-F5-1</f>
        <v>-3.2209991999999965E-2</v>
      </c>
    </row>
    <row r="6" spans="1:9" x14ac:dyDescent="0.3">
      <c r="A6">
        <v>0.15636999900000001</v>
      </c>
      <c r="B6">
        <v>0.49582999900000002</v>
      </c>
      <c r="C6">
        <v>0</v>
      </c>
      <c r="E6">
        <v>0.15636999900000001</v>
      </c>
      <c r="F6">
        <v>0.5</v>
      </c>
      <c r="G6">
        <v>0</v>
      </c>
      <c r="H6">
        <f t="shared" si="0"/>
        <v>0</v>
      </c>
      <c r="I6">
        <f t="shared" si="0"/>
        <v>-4.1700009999999788E-3</v>
      </c>
    </row>
    <row r="7" spans="1:9" x14ac:dyDescent="0.3">
      <c r="A7">
        <v>0.18761999900000001</v>
      </c>
      <c r="B7">
        <v>2.4029999999999999E-2</v>
      </c>
      <c r="C7">
        <v>0</v>
      </c>
      <c r="E7">
        <v>0.18761999900000001</v>
      </c>
      <c r="F7">
        <v>0</v>
      </c>
      <c r="G7">
        <v>0</v>
      </c>
      <c r="H7">
        <f t="shared" si="0"/>
        <v>0</v>
      </c>
      <c r="I7">
        <f t="shared" si="0"/>
        <v>2.4029999999999999E-2</v>
      </c>
    </row>
    <row r="8" spans="1:9" x14ac:dyDescent="0.3">
      <c r="A8">
        <v>0.21886999900000001</v>
      </c>
      <c r="B8">
        <v>0.55131000299999999</v>
      </c>
      <c r="C8">
        <v>0</v>
      </c>
      <c r="E8">
        <v>0.21886999900000001</v>
      </c>
      <c r="F8">
        <v>0.5</v>
      </c>
      <c r="G8">
        <v>0</v>
      </c>
      <c r="H8">
        <f t="shared" si="0"/>
        <v>0</v>
      </c>
      <c r="I8">
        <f t="shared" si="0"/>
        <v>5.1310002999999993E-2</v>
      </c>
    </row>
    <row r="9" spans="1:9" x14ac:dyDescent="0.3">
      <c r="A9">
        <v>0.250120014</v>
      </c>
      <c r="B9">
        <v>7.6609998999999998E-2</v>
      </c>
      <c r="C9">
        <v>0</v>
      </c>
      <c r="E9">
        <v>0.250120014</v>
      </c>
      <c r="F9">
        <v>0</v>
      </c>
      <c r="G9">
        <v>0</v>
      </c>
      <c r="H9">
        <f t="shared" si="0"/>
        <v>0</v>
      </c>
      <c r="I9">
        <f t="shared" si="0"/>
        <v>7.6609998999999998E-2</v>
      </c>
    </row>
    <row r="10" spans="1:9" x14ac:dyDescent="0.3">
      <c r="A10">
        <v>0.281370014</v>
      </c>
      <c r="B10">
        <v>0.598969996</v>
      </c>
      <c r="C10">
        <v>0</v>
      </c>
      <c r="E10">
        <v>0.281370014</v>
      </c>
      <c r="F10">
        <v>0.5</v>
      </c>
      <c r="G10">
        <v>0</v>
      </c>
      <c r="H10">
        <f t="shared" si="0"/>
        <v>0</v>
      </c>
      <c r="I10">
        <f t="shared" si="0"/>
        <v>9.8969996000000005E-2</v>
      </c>
    </row>
    <row r="11" spans="1:9" x14ac:dyDescent="0.3">
      <c r="A11">
        <v>0.312620014</v>
      </c>
      <c r="B11">
        <v>0.11753000299999999</v>
      </c>
      <c r="C11">
        <v>0</v>
      </c>
      <c r="E11">
        <v>0.312620014</v>
      </c>
      <c r="F11">
        <v>0</v>
      </c>
      <c r="G11">
        <v>0</v>
      </c>
      <c r="H11">
        <f t="shared" si="0"/>
        <v>0</v>
      </c>
      <c r="I11">
        <f t="shared" si="0"/>
        <v>0.11753000299999999</v>
      </c>
    </row>
    <row r="12" spans="1:9" x14ac:dyDescent="0.3">
      <c r="A12">
        <v>0.343870014</v>
      </c>
      <c r="B12">
        <v>0.63156998200000003</v>
      </c>
      <c r="C12">
        <v>0</v>
      </c>
      <c r="E12">
        <v>0.343870014</v>
      </c>
      <c r="F12">
        <v>0.5</v>
      </c>
      <c r="G12">
        <v>0</v>
      </c>
      <c r="H12">
        <f t="shared" si="0"/>
        <v>0</v>
      </c>
      <c r="I12">
        <f t="shared" si="0"/>
        <v>0.13156998200000003</v>
      </c>
    </row>
    <row r="13" spans="1:9" x14ac:dyDescent="0.3">
      <c r="A13">
        <v>0.375120014</v>
      </c>
      <c r="B13">
        <v>0.14055000200000001</v>
      </c>
      <c r="C13">
        <v>0</v>
      </c>
      <c r="E13">
        <v>0.375120014</v>
      </c>
      <c r="F13">
        <v>0</v>
      </c>
      <c r="G13">
        <v>0</v>
      </c>
      <c r="H13">
        <f t="shared" si="0"/>
        <v>0</v>
      </c>
      <c r="I13">
        <f t="shared" si="0"/>
        <v>0.14055000200000001</v>
      </c>
    </row>
    <row r="14" spans="1:9" x14ac:dyDescent="0.3">
      <c r="A14">
        <v>0.406370014</v>
      </c>
      <c r="B14">
        <v>0.64412999199999998</v>
      </c>
      <c r="C14">
        <v>0</v>
      </c>
      <c r="E14">
        <v>0.406370014</v>
      </c>
      <c r="F14">
        <v>0.5</v>
      </c>
      <c r="G14">
        <v>0</v>
      </c>
      <c r="H14">
        <f t="shared" si="0"/>
        <v>0</v>
      </c>
      <c r="I14">
        <f t="shared" si="0"/>
        <v>0.14412999199999998</v>
      </c>
    </row>
    <row r="15" spans="1:9" x14ac:dyDescent="0.3">
      <c r="A15">
        <v>0.437620014</v>
      </c>
      <c r="B15">
        <v>0.142179996</v>
      </c>
      <c r="C15">
        <v>0</v>
      </c>
      <c r="E15">
        <v>0.437620014</v>
      </c>
      <c r="F15">
        <v>0</v>
      </c>
      <c r="G15">
        <v>0</v>
      </c>
      <c r="H15">
        <f t="shared" si="0"/>
        <v>0</v>
      </c>
      <c r="I15">
        <f t="shared" si="0"/>
        <v>0.142179996</v>
      </c>
    </row>
    <row r="16" spans="1:9" x14ac:dyDescent="0.3">
      <c r="A16">
        <v>0.468870014</v>
      </c>
      <c r="B16">
        <v>0.63476002200000003</v>
      </c>
      <c r="C16">
        <v>0</v>
      </c>
      <c r="E16">
        <v>0.468870014</v>
      </c>
      <c r="F16">
        <v>0.5</v>
      </c>
      <c r="G16">
        <v>0</v>
      </c>
      <c r="H16">
        <f t="shared" si="0"/>
        <v>0</v>
      </c>
      <c r="I16">
        <f t="shared" si="0"/>
        <v>0.13476002200000003</v>
      </c>
    </row>
    <row r="17" spans="1:9" x14ac:dyDescent="0.3">
      <c r="A17">
        <v>0.50011998400000002</v>
      </c>
      <c r="B17">
        <v>0.122160017</v>
      </c>
      <c r="C17">
        <v>0</v>
      </c>
      <c r="E17">
        <v>0.50011998400000002</v>
      </c>
      <c r="F17">
        <v>0</v>
      </c>
      <c r="G17">
        <v>0</v>
      </c>
      <c r="H17">
        <f t="shared" si="0"/>
        <v>0</v>
      </c>
      <c r="I17">
        <f t="shared" si="0"/>
        <v>0.122160017</v>
      </c>
    </row>
    <row r="18" spans="1:9" x14ac:dyDescent="0.3">
      <c r="A18">
        <v>0.53136998400000002</v>
      </c>
      <c r="B18">
        <v>0.60486996199999998</v>
      </c>
      <c r="C18">
        <v>0</v>
      </c>
      <c r="E18">
        <v>0.53136998400000002</v>
      </c>
      <c r="F18">
        <v>0.5</v>
      </c>
      <c r="G18">
        <v>0</v>
      </c>
      <c r="H18">
        <f t="shared" si="0"/>
        <v>0</v>
      </c>
      <c r="I18">
        <f t="shared" si="0"/>
        <v>0.10486996199999998</v>
      </c>
    </row>
    <row r="19" spans="1:9" x14ac:dyDescent="0.3">
      <c r="A19">
        <v>0.56261998400000002</v>
      </c>
      <c r="B19">
        <v>8.3540000000000003E-2</v>
      </c>
      <c r="C19">
        <v>0</v>
      </c>
      <c r="E19">
        <v>0.56261998400000002</v>
      </c>
      <c r="F19">
        <v>0</v>
      </c>
      <c r="G19">
        <v>0</v>
      </c>
      <c r="H19">
        <f t="shared" si="0"/>
        <v>0</v>
      </c>
      <c r="I19">
        <f t="shared" si="0"/>
        <v>8.3540000000000003E-2</v>
      </c>
    </row>
    <row r="20" spans="1:9" x14ac:dyDescent="0.3">
      <c r="A20">
        <v>0.59386998400000002</v>
      </c>
      <c r="B20">
        <v>0.55901002899999996</v>
      </c>
      <c r="C20">
        <v>0</v>
      </c>
      <c r="E20">
        <v>0.59386998400000002</v>
      </c>
      <c r="F20">
        <v>0.5</v>
      </c>
      <c r="G20">
        <v>0</v>
      </c>
      <c r="H20">
        <f t="shared" si="0"/>
        <v>0</v>
      </c>
      <c r="I20">
        <f t="shared" si="0"/>
        <v>5.9010028999999964E-2</v>
      </c>
    </row>
    <row r="21" spans="1:9" x14ac:dyDescent="0.3">
      <c r="A21">
        <v>0.62511998400000002</v>
      </c>
      <c r="B21">
        <v>3.2210000000000003E-2</v>
      </c>
      <c r="C21">
        <v>0</v>
      </c>
      <c r="E21">
        <v>0.62511998400000002</v>
      </c>
      <c r="F21">
        <v>0</v>
      </c>
      <c r="G21">
        <v>0</v>
      </c>
      <c r="H21">
        <f t="shared" si="0"/>
        <v>0</v>
      </c>
      <c r="I21">
        <f t="shared" si="0"/>
        <v>3.2210000000000003E-2</v>
      </c>
    </row>
    <row r="22" spans="1:9" x14ac:dyDescent="0.3">
      <c r="A22">
        <v>0.65636998400000002</v>
      </c>
      <c r="B22">
        <v>0.50417000099999998</v>
      </c>
      <c r="C22">
        <v>0</v>
      </c>
      <c r="E22">
        <v>0.65636998400000002</v>
      </c>
      <c r="F22">
        <v>0.5</v>
      </c>
      <c r="G22">
        <v>0</v>
      </c>
      <c r="H22">
        <f t="shared" si="0"/>
        <v>0</v>
      </c>
      <c r="I22">
        <f t="shared" si="0"/>
        <v>4.1700009999999788E-3</v>
      </c>
    </row>
    <row r="23" spans="1:9" x14ac:dyDescent="0.3">
      <c r="A23">
        <v>0.68761998400000002</v>
      </c>
      <c r="B23">
        <v>0.97597003000000004</v>
      </c>
      <c r="C23">
        <v>0</v>
      </c>
      <c r="E23">
        <v>0.68761998400000002</v>
      </c>
      <c r="F23">
        <v>0</v>
      </c>
      <c r="G23">
        <v>0</v>
      </c>
      <c r="H23">
        <f t="shared" si="0"/>
        <v>0</v>
      </c>
      <c r="I23">
        <f>B23-F23-1</f>
        <v>-2.4029969999999956E-2</v>
      </c>
    </row>
    <row r="24" spans="1:9" x14ac:dyDescent="0.3">
      <c r="A24">
        <v>0.71886998400000002</v>
      </c>
      <c r="B24">
        <v>0.44868999700000001</v>
      </c>
      <c r="C24">
        <v>0</v>
      </c>
      <c r="E24">
        <v>0.71886998400000002</v>
      </c>
      <c r="F24">
        <v>0.5</v>
      </c>
      <c r="G24">
        <v>0</v>
      </c>
      <c r="H24">
        <f t="shared" si="0"/>
        <v>0</v>
      </c>
      <c r="I24">
        <f t="shared" si="0"/>
        <v>-5.1310002999999993E-2</v>
      </c>
    </row>
    <row r="25" spans="1:9" x14ac:dyDescent="0.3">
      <c r="A25">
        <v>0.75012004399999999</v>
      </c>
      <c r="B25">
        <v>0.92339003099999994</v>
      </c>
      <c r="C25">
        <v>0</v>
      </c>
      <c r="E25">
        <v>0.75012004399999999</v>
      </c>
      <c r="F25">
        <v>0</v>
      </c>
      <c r="G25">
        <v>0</v>
      </c>
      <c r="H25">
        <f t="shared" si="0"/>
        <v>0</v>
      </c>
      <c r="I25">
        <f>B25-F25-1</f>
        <v>-7.6609969000000055E-2</v>
      </c>
    </row>
    <row r="26" spans="1:9" x14ac:dyDescent="0.3">
      <c r="A26">
        <v>0.78137004399999999</v>
      </c>
      <c r="B26">
        <v>0.401030004</v>
      </c>
      <c r="C26">
        <v>0</v>
      </c>
      <c r="E26">
        <v>0.78137004399999999</v>
      </c>
      <c r="F26">
        <v>0.5</v>
      </c>
      <c r="G26">
        <v>0</v>
      </c>
      <c r="H26">
        <f t="shared" si="0"/>
        <v>0</v>
      </c>
      <c r="I26">
        <f t="shared" si="0"/>
        <v>-9.8969996000000005E-2</v>
      </c>
    </row>
    <row r="27" spans="1:9" x14ac:dyDescent="0.3">
      <c r="A27">
        <v>0.81262004399999999</v>
      </c>
      <c r="B27">
        <v>0.88247001199999997</v>
      </c>
      <c r="C27">
        <v>0</v>
      </c>
      <c r="E27">
        <v>0.81262004399999999</v>
      </c>
      <c r="F27">
        <v>0</v>
      </c>
      <c r="G27">
        <v>0</v>
      </c>
      <c r="H27">
        <f t="shared" si="0"/>
        <v>0</v>
      </c>
      <c r="I27">
        <f>B27-F27-1</f>
        <v>-0.11752998800000003</v>
      </c>
    </row>
    <row r="28" spans="1:9" x14ac:dyDescent="0.3">
      <c r="A28">
        <v>0.84387004399999999</v>
      </c>
      <c r="B28">
        <v>0.36843001800000003</v>
      </c>
      <c r="C28">
        <v>0</v>
      </c>
      <c r="E28">
        <v>0.84387004399999999</v>
      </c>
      <c r="F28">
        <v>0.5</v>
      </c>
      <c r="G28">
        <v>0</v>
      </c>
      <c r="H28">
        <f t="shared" si="0"/>
        <v>0</v>
      </c>
      <c r="I28">
        <f t="shared" si="0"/>
        <v>-0.13156998199999997</v>
      </c>
    </row>
    <row r="29" spans="1:9" x14ac:dyDescent="0.3">
      <c r="A29">
        <v>0.87512004399999999</v>
      </c>
      <c r="B29">
        <v>0.85944998299999997</v>
      </c>
      <c r="C29">
        <v>0</v>
      </c>
      <c r="E29">
        <v>0.87512004399999999</v>
      </c>
      <c r="F29">
        <v>0</v>
      </c>
      <c r="G29">
        <v>0</v>
      </c>
      <c r="H29">
        <f t="shared" si="0"/>
        <v>0</v>
      </c>
      <c r="I29">
        <f>B29-F29-1</f>
        <v>-0.14055001700000003</v>
      </c>
    </row>
    <row r="30" spans="1:9" x14ac:dyDescent="0.3">
      <c r="A30">
        <v>0.90637004399999999</v>
      </c>
      <c r="B30">
        <v>0.35587000800000002</v>
      </c>
      <c r="C30">
        <v>0</v>
      </c>
      <c r="E30">
        <v>0.90637004399999999</v>
      </c>
      <c r="F30">
        <v>0.5</v>
      </c>
      <c r="G30">
        <v>0</v>
      </c>
      <c r="H30">
        <f t="shared" si="0"/>
        <v>0</v>
      </c>
      <c r="I30">
        <f t="shared" si="0"/>
        <v>-0.14412999199999998</v>
      </c>
    </row>
    <row r="31" spans="1:9" x14ac:dyDescent="0.3">
      <c r="A31">
        <v>0.93762004399999999</v>
      </c>
      <c r="B31">
        <v>0.85782003399999995</v>
      </c>
      <c r="C31">
        <v>0</v>
      </c>
      <c r="E31">
        <v>0.93762004399999999</v>
      </c>
      <c r="F31">
        <v>0</v>
      </c>
      <c r="G31">
        <v>0</v>
      </c>
      <c r="H31">
        <f t="shared" si="0"/>
        <v>0</v>
      </c>
      <c r="I31">
        <f>B31-F31-1</f>
        <v>-0.14217996600000005</v>
      </c>
    </row>
    <row r="32" spans="1:9" x14ac:dyDescent="0.3">
      <c r="A32">
        <v>0.96886998400000002</v>
      </c>
      <c r="B32">
        <v>0.365240008</v>
      </c>
      <c r="C32">
        <v>0</v>
      </c>
      <c r="E32">
        <v>0.96886998400000002</v>
      </c>
      <c r="F32">
        <v>0.5</v>
      </c>
      <c r="G32">
        <v>0</v>
      </c>
      <c r="H32">
        <f t="shared" si="0"/>
        <v>0</v>
      </c>
      <c r="I32">
        <f t="shared" si="0"/>
        <v>-0.134759992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CF86-9145-4B73-906D-6E5F28EC27B2}">
  <dimension ref="A1:I32"/>
  <sheetViews>
    <sheetView topLeftCell="A12" workbookViewId="0">
      <selection activeCell="I1" sqref="I1:I32"/>
    </sheetView>
  </sheetViews>
  <sheetFormatPr defaultRowHeight="14" x14ac:dyDescent="0.3"/>
  <sheetData>
    <row r="1" spans="1:9" x14ac:dyDescent="0.3">
      <c r="A1">
        <v>1.2E-4</v>
      </c>
      <c r="B1">
        <v>0.39419999700000002</v>
      </c>
      <c r="C1">
        <v>0.5</v>
      </c>
      <c r="E1">
        <v>1.2E-4</v>
      </c>
      <c r="F1">
        <v>0.5</v>
      </c>
      <c r="G1">
        <v>0.5</v>
      </c>
      <c r="H1">
        <f>A1-E1</f>
        <v>0</v>
      </c>
      <c r="I1">
        <f>B1-F1</f>
        <v>-0.10580000299999998</v>
      </c>
    </row>
    <row r="2" spans="1:9" x14ac:dyDescent="0.3">
      <c r="A2">
        <v>3.1369999000000003E-2</v>
      </c>
      <c r="B2">
        <v>0.91357999999999995</v>
      </c>
      <c r="C2">
        <v>0.5</v>
      </c>
      <c r="E2">
        <v>3.1369999000000003E-2</v>
      </c>
      <c r="F2">
        <v>0</v>
      </c>
      <c r="G2">
        <v>0.5</v>
      </c>
      <c r="H2">
        <f t="shared" ref="H2:I32" si="0">A2-E2</f>
        <v>0</v>
      </c>
      <c r="I2">
        <f>B2-F2-1</f>
        <v>-8.6420000000000052E-2</v>
      </c>
    </row>
    <row r="3" spans="1:9" x14ac:dyDescent="0.3">
      <c r="A3">
        <v>6.2619998999999996E-2</v>
      </c>
      <c r="B3">
        <v>0.43628999600000001</v>
      </c>
      <c r="C3">
        <v>0.5</v>
      </c>
      <c r="E3">
        <v>6.2619998999999996E-2</v>
      </c>
      <c r="F3">
        <v>0.5</v>
      </c>
      <c r="G3">
        <v>0.5</v>
      </c>
      <c r="H3">
        <f t="shared" si="0"/>
        <v>0</v>
      </c>
      <c r="I3">
        <f t="shared" si="0"/>
        <v>-6.3710003999999987E-2</v>
      </c>
    </row>
    <row r="4" spans="1:9" x14ac:dyDescent="0.3">
      <c r="A4">
        <v>9.3869998999999996E-2</v>
      </c>
      <c r="B4">
        <v>0.96144002699999997</v>
      </c>
      <c r="C4">
        <v>0.5</v>
      </c>
      <c r="E4">
        <v>9.3869998999999996E-2</v>
      </c>
      <c r="F4">
        <v>0</v>
      </c>
      <c r="G4">
        <v>0.5</v>
      </c>
      <c r="H4">
        <f t="shared" si="0"/>
        <v>0</v>
      </c>
      <c r="I4">
        <f>B4-F4-1</f>
        <v>-3.8559973000000025E-2</v>
      </c>
    </row>
    <row r="5" spans="1:9" x14ac:dyDescent="0.3">
      <c r="A5">
        <v>0.12511999900000001</v>
      </c>
      <c r="B5">
        <v>0.48807999499999999</v>
      </c>
      <c r="C5">
        <v>0.5</v>
      </c>
      <c r="E5">
        <v>0.12511999900000001</v>
      </c>
      <c r="F5">
        <v>0.5</v>
      </c>
      <c r="G5">
        <v>0.5</v>
      </c>
      <c r="H5">
        <f t="shared" si="0"/>
        <v>0</v>
      </c>
      <c r="I5">
        <f t="shared" si="0"/>
        <v>-1.1920005000000011E-2</v>
      </c>
    </row>
    <row r="6" spans="1:9" x14ac:dyDescent="0.3">
      <c r="A6">
        <v>0.15636999900000001</v>
      </c>
      <c r="B6">
        <v>1.5169999999999999E-2</v>
      </c>
      <c r="C6">
        <v>0.5</v>
      </c>
      <c r="E6">
        <v>0.15636999900000001</v>
      </c>
      <c r="F6">
        <v>0</v>
      </c>
      <c r="G6">
        <v>0.5</v>
      </c>
      <c r="H6">
        <f t="shared" si="0"/>
        <v>0</v>
      </c>
      <c r="I6">
        <f t="shared" si="0"/>
        <v>1.5169999999999999E-2</v>
      </c>
    </row>
    <row r="7" spans="1:9" x14ac:dyDescent="0.3">
      <c r="A7">
        <v>0.18761999900000001</v>
      </c>
      <c r="B7">
        <v>0.54167997800000001</v>
      </c>
      <c r="C7">
        <v>0.5</v>
      </c>
      <c r="E7">
        <v>0.18761999900000001</v>
      </c>
      <c r="F7">
        <v>0.5</v>
      </c>
      <c r="G7">
        <v>0.5</v>
      </c>
      <c r="H7">
        <f t="shared" si="0"/>
        <v>0</v>
      </c>
      <c r="I7">
        <f t="shared" si="0"/>
        <v>4.1679978000000006E-2</v>
      </c>
    </row>
    <row r="8" spans="1:9" x14ac:dyDescent="0.3">
      <c r="A8">
        <v>0.21886999900000001</v>
      </c>
      <c r="B8">
        <v>6.6590003999999994E-2</v>
      </c>
      <c r="C8">
        <v>0.5</v>
      </c>
      <c r="E8">
        <v>0.21886999900000001</v>
      </c>
      <c r="F8">
        <v>0</v>
      </c>
      <c r="G8">
        <v>0.5</v>
      </c>
      <c r="H8">
        <f t="shared" si="0"/>
        <v>0</v>
      </c>
      <c r="I8">
        <f t="shared" si="0"/>
        <v>6.6590003999999994E-2</v>
      </c>
    </row>
    <row r="9" spans="1:9" x14ac:dyDescent="0.3">
      <c r="A9">
        <v>0.250120014</v>
      </c>
      <c r="B9">
        <v>0.58894002400000001</v>
      </c>
      <c r="C9">
        <v>0.5</v>
      </c>
      <c r="E9">
        <v>0.250120014</v>
      </c>
      <c r="F9">
        <v>0.5</v>
      </c>
      <c r="G9">
        <v>0.5</v>
      </c>
      <c r="H9">
        <f t="shared" si="0"/>
        <v>0</v>
      </c>
      <c r="I9">
        <f t="shared" si="0"/>
        <v>8.8940024000000006E-2</v>
      </c>
    </row>
    <row r="10" spans="1:9" x14ac:dyDescent="0.3">
      <c r="A10">
        <v>0.281370014</v>
      </c>
      <c r="B10">
        <v>0.10786999799999999</v>
      </c>
      <c r="C10">
        <v>0.5</v>
      </c>
      <c r="E10">
        <v>0.281370014</v>
      </c>
      <c r="F10">
        <v>0</v>
      </c>
      <c r="G10">
        <v>0.5</v>
      </c>
      <c r="H10">
        <f t="shared" si="0"/>
        <v>0</v>
      </c>
      <c r="I10">
        <f t="shared" si="0"/>
        <v>0.10786999799999999</v>
      </c>
    </row>
    <row r="11" spans="1:9" x14ac:dyDescent="0.3">
      <c r="A11">
        <v>0.312620014</v>
      </c>
      <c r="B11">
        <v>0.62265998099999997</v>
      </c>
      <c r="C11">
        <v>0.5</v>
      </c>
      <c r="E11">
        <v>0.312620014</v>
      </c>
      <c r="F11">
        <v>0.5</v>
      </c>
      <c r="G11">
        <v>0.5</v>
      </c>
      <c r="H11">
        <f t="shared" si="0"/>
        <v>0</v>
      </c>
      <c r="I11">
        <f t="shared" si="0"/>
        <v>0.12265998099999997</v>
      </c>
    </row>
    <row r="12" spans="1:9" x14ac:dyDescent="0.3">
      <c r="A12">
        <v>0.343870014</v>
      </c>
      <c r="B12">
        <v>0.13273000700000001</v>
      </c>
      <c r="C12">
        <v>0.5</v>
      </c>
      <c r="E12">
        <v>0.343870014</v>
      </c>
      <c r="F12">
        <v>0</v>
      </c>
      <c r="G12">
        <v>0.5</v>
      </c>
      <c r="H12">
        <f t="shared" si="0"/>
        <v>0</v>
      </c>
      <c r="I12">
        <f t="shared" si="0"/>
        <v>0.13273000700000001</v>
      </c>
    </row>
    <row r="13" spans="1:9" x14ac:dyDescent="0.3">
      <c r="A13">
        <v>0.375120014</v>
      </c>
      <c r="B13">
        <v>0.63770997500000004</v>
      </c>
      <c r="C13">
        <v>0.5</v>
      </c>
      <c r="E13">
        <v>0.375120014</v>
      </c>
      <c r="F13">
        <v>0.5</v>
      </c>
      <c r="G13">
        <v>0.5</v>
      </c>
      <c r="H13">
        <f t="shared" si="0"/>
        <v>0</v>
      </c>
      <c r="I13">
        <f t="shared" si="0"/>
        <v>0.13770997500000004</v>
      </c>
    </row>
    <row r="14" spans="1:9" x14ac:dyDescent="0.3">
      <c r="A14">
        <v>0.406370014</v>
      </c>
      <c r="B14">
        <v>0.13739000300000001</v>
      </c>
      <c r="C14">
        <v>0.5</v>
      </c>
      <c r="E14">
        <v>0.406370014</v>
      </c>
      <c r="F14">
        <v>0</v>
      </c>
      <c r="G14">
        <v>0.5</v>
      </c>
      <c r="H14">
        <f t="shared" si="0"/>
        <v>0</v>
      </c>
      <c r="I14">
        <f t="shared" si="0"/>
        <v>0.13739000300000001</v>
      </c>
    </row>
    <row r="15" spans="1:9" x14ac:dyDescent="0.3">
      <c r="A15">
        <v>0.437620014</v>
      </c>
      <c r="B15">
        <v>0.63178998200000003</v>
      </c>
      <c r="C15">
        <v>0.5</v>
      </c>
      <c r="E15">
        <v>0.437620014</v>
      </c>
      <c r="F15">
        <v>0.5</v>
      </c>
      <c r="G15">
        <v>0.5</v>
      </c>
      <c r="H15">
        <f t="shared" si="0"/>
        <v>0</v>
      </c>
      <c r="I15">
        <f t="shared" si="0"/>
        <v>0.13178998200000003</v>
      </c>
    </row>
    <row r="16" spans="1:9" x14ac:dyDescent="0.3">
      <c r="A16">
        <v>0.468870014</v>
      </c>
      <c r="B16">
        <v>0.12111999800000001</v>
      </c>
      <c r="C16">
        <v>0.5</v>
      </c>
      <c r="E16">
        <v>0.468870014</v>
      </c>
      <c r="F16">
        <v>0</v>
      </c>
      <c r="G16">
        <v>0.5</v>
      </c>
      <c r="H16">
        <f t="shared" si="0"/>
        <v>0</v>
      </c>
      <c r="I16">
        <f t="shared" si="0"/>
        <v>0.12111999800000001</v>
      </c>
    </row>
    <row r="17" spans="1:9" x14ac:dyDescent="0.3">
      <c r="A17">
        <v>0.50011998400000002</v>
      </c>
      <c r="B17">
        <v>0.60580003299999996</v>
      </c>
      <c r="C17">
        <v>0.5</v>
      </c>
      <c r="E17">
        <v>0.50011998400000002</v>
      </c>
      <c r="F17">
        <v>0.5</v>
      </c>
      <c r="G17">
        <v>0.5</v>
      </c>
      <c r="H17">
        <f t="shared" si="0"/>
        <v>0</v>
      </c>
      <c r="I17">
        <f t="shared" si="0"/>
        <v>0.10580003299999996</v>
      </c>
    </row>
    <row r="18" spans="1:9" x14ac:dyDescent="0.3">
      <c r="A18">
        <v>0.53136998400000002</v>
      </c>
      <c r="B18">
        <v>8.6419999999999997E-2</v>
      </c>
      <c r="C18">
        <v>0.5</v>
      </c>
      <c r="E18">
        <v>0.53136998400000002</v>
      </c>
      <c r="F18">
        <v>0</v>
      </c>
      <c r="G18">
        <v>0.5</v>
      </c>
      <c r="H18">
        <f t="shared" si="0"/>
        <v>0</v>
      </c>
      <c r="I18">
        <f t="shared" si="0"/>
        <v>8.6419999999999997E-2</v>
      </c>
    </row>
    <row r="19" spans="1:9" x14ac:dyDescent="0.3">
      <c r="A19">
        <v>0.56261998400000002</v>
      </c>
      <c r="B19">
        <v>0.563709974</v>
      </c>
      <c r="C19">
        <v>0.5</v>
      </c>
      <c r="E19">
        <v>0.56261998400000002</v>
      </c>
      <c r="F19">
        <v>0.5</v>
      </c>
      <c r="G19">
        <v>0.5</v>
      </c>
      <c r="H19">
        <f t="shared" si="0"/>
        <v>0</v>
      </c>
      <c r="I19">
        <f t="shared" si="0"/>
        <v>6.3709974000000003E-2</v>
      </c>
    </row>
    <row r="20" spans="1:9" x14ac:dyDescent="0.3">
      <c r="A20">
        <v>0.59386998400000002</v>
      </c>
      <c r="B20">
        <v>3.8559998999999998E-2</v>
      </c>
      <c r="C20">
        <v>0.5</v>
      </c>
      <c r="E20">
        <v>0.59386998400000002</v>
      </c>
      <c r="F20">
        <v>0</v>
      </c>
      <c r="G20">
        <v>0.5</v>
      </c>
      <c r="H20">
        <f t="shared" si="0"/>
        <v>0</v>
      </c>
      <c r="I20">
        <f t="shared" si="0"/>
        <v>3.8559998999999998E-2</v>
      </c>
    </row>
    <row r="21" spans="1:9" x14ac:dyDescent="0.3">
      <c r="A21">
        <v>0.62511998400000002</v>
      </c>
      <c r="B21">
        <v>0.51191997499999997</v>
      </c>
      <c r="C21">
        <v>0.5</v>
      </c>
      <c r="E21">
        <v>0.62511998400000002</v>
      </c>
      <c r="F21">
        <v>0.5</v>
      </c>
      <c r="G21">
        <v>0.5</v>
      </c>
      <c r="H21">
        <f t="shared" si="0"/>
        <v>0</v>
      </c>
      <c r="I21">
        <f t="shared" si="0"/>
        <v>1.1919974999999972E-2</v>
      </c>
    </row>
    <row r="22" spans="1:9" x14ac:dyDescent="0.3">
      <c r="A22">
        <v>0.65636998400000002</v>
      </c>
      <c r="B22">
        <v>0.98483002200000003</v>
      </c>
      <c r="C22">
        <v>0.5</v>
      </c>
      <c r="E22">
        <v>0.65636998400000002</v>
      </c>
      <c r="F22">
        <v>0</v>
      </c>
      <c r="G22">
        <v>0.5</v>
      </c>
      <c r="H22">
        <f t="shared" si="0"/>
        <v>0</v>
      </c>
      <c r="I22">
        <f>B22-F22-1</f>
        <v>-1.5169977999999973E-2</v>
      </c>
    </row>
    <row r="23" spans="1:9" x14ac:dyDescent="0.3">
      <c r="A23">
        <v>0.68761998400000002</v>
      </c>
      <c r="B23">
        <v>0.45832002199999999</v>
      </c>
      <c r="C23">
        <v>0.5</v>
      </c>
      <c r="E23">
        <v>0.68761998400000002</v>
      </c>
      <c r="F23">
        <v>0.5</v>
      </c>
      <c r="G23">
        <v>0.5</v>
      </c>
      <c r="H23">
        <f t="shared" si="0"/>
        <v>0</v>
      </c>
      <c r="I23">
        <f t="shared" si="0"/>
        <v>-4.1679978000000006E-2</v>
      </c>
    </row>
    <row r="24" spans="1:9" x14ac:dyDescent="0.3">
      <c r="A24">
        <v>0.71886998400000002</v>
      </c>
      <c r="B24">
        <v>0.93340998900000005</v>
      </c>
      <c r="C24">
        <v>0.5</v>
      </c>
      <c r="E24">
        <v>0.71886998400000002</v>
      </c>
      <c r="F24">
        <v>0</v>
      </c>
      <c r="G24">
        <v>0.5</v>
      </c>
      <c r="H24">
        <f t="shared" si="0"/>
        <v>0</v>
      </c>
      <c r="I24">
        <f>B24-F24-1</f>
        <v>-6.6590010999999949E-2</v>
      </c>
    </row>
    <row r="25" spans="1:9" x14ac:dyDescent="0.3">
      <c r="A25">
        <v>0.75012004399999999</v>
      </c>
      <c r="B25">
        <v>0.41105997599999999</v>
      </c>
      <c r="C25">
        <v>0.5</v>
      </c>
      <c r="E25">
        <v>0.75012004399999999</v>
      </c>
      <c r="F25">
        <v>0.5</v>
      </c>
      <c r="G25">
        <v>0.5</v>
      </c>
      <c r="H25">
        <f t="shared" si="0"/>
        <v>0</v>
      </c>
      <c r="I25">
        <f t="shared" si="0"/>
        <v>-8.8940024000000006E-2</v>
      </c>
    </row>
    <row r="26" spans="1:9" x14ac:dyDescent="0.3">
      <c r="A26">
        <v>0.78137004399999999</v>
      </c>
      <c r="B26">
        <v>0.89213001700000005</v>
      </c>
      <c r="C26">
        <v>0.5</v>
      </c>
      <c r="E26">
        <v>0.78137004399999999</v>
      </c>
      <c r="F26">
        <v>0</v>
      </c>
      <c r="G26">
        <v>0.5</v>
      </c>
      <c r="H26">
        <f t="shared" si="0"/>
        <v>0</v>
      </c>
      <c r="I26">
        <f>B26-F26-1</f>
        <v>-0.10786998299999995</v>
      </c>
    </row>
    <row r="27" spans="1:9" x14ac:dyDescent="0.3">
      <c r="A27">
        <v>0.81262004399999999</v>
      </c>
      <c r="B27">
        <v>0.37734001900000003</v>
      </c>
      <c r="C27">
        <v>0.5</v>
      </c>
      <c r="E27">
        <v>0.81262004399999999</v>
      </c>
      <c r="F27">
        <v>0.5</v>
      </c>
      <c r="G27">
        <v>0.5</v>
      </c>
      <c r="H27">
        <f t="shared" si="0"/>
        <v>0</v>
      </c>
      <c r="I27">
        <f t="shared" si="0"/>
        <v>-0.12265998099999997</v>
      </c>
    </row>
    <row r="28" spans="1:9" x14ac:dyDescent="0.3">
      <c r="A28">
        <v>0.84387004399999999</v>
      </c>
      <c r="B28">
        <v>0.86726999299999996</v>
      </c>
      <c r="C28">
        <v>0.5</v>
      </c>
      <c r="E28">
        <v>0.84387004399999999</v>
      </c>
      <c r="F28">
        <v>0</v>
      </c>
      <c r="G28">
        <v>0.5</v>
      </c>
      <c r="H28">
        <f t="shared" si="0"/>
        <v>0</v>
      </c>
      <c r="I28">
        <f>B28-F28-1</f>
        <v>-0.13273000700000004</v>
      </c>
    </row>
    <row r="29" spans="1:9" x14ac:dyDescent="0.3">
      <c r="A29">
        <v>0.87512004399999999</v>
      </c>
      <c r="B29">
        <v>0.36229002500000002</v>
      </c>
      <c r="C29">
        <v>0.5</v>
      </c>
      <c r="E29">
        <v>0.87512004399999999</v>
      </c>
      <c r="F29">
        <v>0.5</v>
      </c>
      <c r="G29">
        <v>0.5</v>
      </c>
      <c r="H29">
        <f t="shared" si="0"/>
        <v>0</v>
      </c>
      <c r="I29">
        <f t="shared" si="0"/>
        <v>-0.13770997499999998</v>
      </c>
    </row>
    <row r="30" spans="1:9" x14ac:dyDescent="0.3">
      <c r="A30">
        <v>0.90637004399999999</v>
      </c>
      <c r="B30">
        <v>0.86260998200000005</v>
      </c>
      <c r="C30">
        <v>0.5</v>
      </c>
      <c r="E30">
        <v>0.90637004399999999</v>
      </c>
      <c r="F30">
        <v>0</v>
      </c>
      <c r="G30">
        <v>0.5</v>
      </c>
      <c r="H30">
        <f t="shared" si="0"/>
        <v>0</v>
      </c>
      <c r="I30">
        <f>B30-F30-1</f>
        <v>-0.13739001799999995</v>
      </c>
    </row>
    <row r="31" spans="1:9" x14ac:dyDescent="0.3">
      <c r="A31">
        <v>0.93762004399999999</v>
      </c>
      <c r="B31">
        <v>0.36821001799999997</v>
      </c>
      <c r="C31">
        <v>0.5</v>
      </c>
      <c r="E31">
        <v>0.93762004399999999</v>
      </c>
      <c r="F31">
        <v>0.5</v>
      </c>
      <c r="G31">
        <v>0.5</v>
      </c>
      <c r="H31">
        <f t="shared" si="0"/>
        <v>0</v>
      </c>
      <c r="I31">
        <f t="shared" si="0"/>
        <v>-0.13178998200000003</v>
      </c>
    </row>
    <row r="32" spans="1:9" x14ac:dyDescent="0.3">
      <c r="A32">
        <v>0.96887004399999999</v>
      </c>
      <c r="B32">
        <v>0.87888002399999998</v>
      </c>
      <c r="C32">
        <v>0.5</v>
      </c>
      <c r="E32">
        <v>0.96887004399999999</v>
      </c>
      <c r="F32">
        <v>0</v>
      </c>
      <c r="G32">
        <v>0.5</v>
      </c>
      <c r="H32">
        <f t="shared" si="0"/>
        <v>0</v>
      </c>
      <c r="I32">
        <f>B32-F32-1</f>
        <v>-0.12111997600000002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E9207-EA20-451F-8EA2-097180625FEB}">
  <dimension ref="A1:L32"/>
  <sheetViews>
    <sheetView topLeftCell="A19" workbookViewId="0">
      <selection activeCell="L1" sqref="L1:L32"/>
    </sheetView>
  </sheetViews>
  <sheetFormatPr defaultRowHeight="14" x14ac:dyDescent="0.3"/>
  <sheetData>
    <row r="1" spans="1:12" x14ac:dyDescent="0.3">
      <c r="A1">
        <v>1.5959978E-2</v>
      </c>
      <c r="B1">
        <v>0.18549001200000001</v>
      </c>
      <c r="C1">
        <v>0.5</v>
      </c>
      <c r="E1">
        <v>1.5739976999999999E-2</v>
      </c>
      <c r="F1">
        <v>0.25</v>
      </c>
      <c r="G1">
        <v>0.5</v>
      </c>
      <c r="H1">
        <f>A1-E1</f>
        <v>2.2000100000000092E-4</v>
      </c>
      <c r="I1">
        <f>B1-F1</f>
        <v>-6.450998799999999E-2</v>
      </c>
      <c r="J1">
        <v>-6.4509987999999963E-2</v>
      </c>
      <c r="K1">
        <f>SUM(I1:J1)</f>
        <v>-0.12901997599999995</v>
      </c>
      <c r="L1">
        <f>K1/2</f>
        <v>-6.4509987999999976E-2</v>
      </c>
    </row>
    <row r="2" spans="1:12" x14ac:dyDescent="0.3">
      <c r="A2">
        <v>4.6760000000000003E-2</v>
      </c>
      <c r="B2">
        <v>0.21031999600000001</v>
      </c>
      <c r="C2">
        <v>0.5</v>
      </c>
      <c r="E2">
        <v>4.6989999999999997E-2</v>
      </c>
      <c r="F2">
        <v>0.25</v>
      </c>
      <c r="G2">
        <v>0.5</v>
      </c>
      <c r="H2">
        <f t="shared" ref="H2:I32" si="0">A2-E2</f>
        <v>-2.299999999999941E-4</v>
      </c>
      <c r="I2">
        <f t="shared" si="0"/>
        <v>-3.9680003999999991E-2</v>
      </c>
      <c r="J2">
        <v>-3.9680004000000046E-2</v>
      </c>
      <c r="K2">
        <f t="shared" ref="K2:K32" si="1">SUM(I2:J2)</f>
        <v>-7.9360008000000037E-2</v>
      </c>
      <c r="L2">
        <f t="shared" ref="L2:L32" si="2">K2/2</f>
        <v>-3.9680004000000019E-2</v>
      </c>
    </row>
    <row r="3" spans="1:12" x14ac:dyDescent="0.3">
      <c r="A3">
        <v>7.8480005000000005E-2</v>
      </c>
      <c r="B3">
        <v>0.23667997099999999</v>
      </c>
      <c r="C3">
        <v>0.5</v>
      </c>
      <c r="E3">
        <v>7.8239977000000002E-2</v>
      </c>
      <c r="F3">
        <v>0.25</v>
      </c>
      <c r="G3">
        <v>0.5</v>
      </c>
      <c r="H3">
        <f t="shared" si="0"/>
        <v>2.4002800000000324E-4</v>
      </c>
      <c r="I3">
        <f t="shared" si="0"/>
        <v>-1.3320029000000011E-2</v>
      </c>
      <c r="J3">
        <v>-1.3320028999999955E-2</v>
      </c>
      <c r="K3">
        <f t="shared" si="1"/>
        <v>-2.6640057999999966E-2</v>
      </c>
      <c r="L3">
        <f t="shared" si="2"/>
        <v>-1.3320028999999983E-2</v>
      </c>
    </row>
    <row r="4" spans="1:12" x14ac:dyDescent="0.3">
      <c r="A4">
        <v>0.109250002</v>
      </c>
      <c r="B4">
        <v>0.26355001300000003</v>
      </c>
      <c r="C4">
        <v>0.5</v>
      </c>
      <c r="E4">
        <v>0.10949</v>
      </c>
      <c r="F4">
        <v>0.25</v>
      </c>
      <c r="G4">
        <v>0.5</v>
      </c>
      <c r="H4">
        <f t="shared" si="0"/>
        <v>-2.3999800000000515E-4</v>
      </c>
      <c r="I4">
        <f t="shared" si="0"/>
        <v>1.3550013000000027E-2</v>
      </c>
      <c r="J4">
        <v>1.3549983999999959E-2</v>
      </c>
      <c r="K4">
        <f t="shared" si="1"/>
        <v>2.7099996999999987E-2</v>
      </c>
      <c r="L4">
        <f t="shared" si="2"/>
        <v>1.3549998499999993E-2</v>
      </c>
    </row>
    <row r="5" spans="1:12" x14ac:dyDescent="0.3">
      <c r="A5">
        <v>0.14096999199999999</v>
      </c>
      <c r="B5">
        <v>0.28990000500000002</v>
      </c>
      <c r="C5">
        <v>0.5</v>
      </c>
      <c r="E5">
        <v>0.14073997699999999</v>
      </c>
      <c r="F5">
        <v>0.25</v>
      </c>
      <c r="G5">
        <v>0.5</v>
      </c>
      <c r="H5">
        <f t="shared" si="0"/>
        <v>2.3001500000000008E-4</v>
      </c>
      <c r="I5">
        <f t="shared" si="0"/>
        <v>3.9900005000000016E-2</v>
      </c>
      <c r="J5">
        <v>3.9900005000000016E-2</v>
      </c>
      <c r="K5">
        <f t="shared" si="1"/>
        <v>7.9800010000000032E-2</v>
      </c>
      <c r="L5">
        <f t="shared" si="2"/>
        <v>3.9900005000000016E-2</v>
      </c>
    </row>
    <row r="6" spans="1:12" x14ac:dyDescent="0.3">
      <c r="A6">
        <v>0.17178000500000001</v>
      </c>
      <c r="B6">
        <v>0.31472000500000002</v>
      </c>
      <c r="C6">
        <v>0.5</v>
      </c>
      <c r="E6">
        <v>0.171990007</v>
      </c>
      <c r="F6">
        <v>0.25</v>
      </c>
      <c r="G6">
        <v>0.5</v>
      </c>
      <c r="H6">
        <f t="shared" si="0"/>
        <v>-2.1000199999998692E-4</v>
      </c>
      <c r="I6">
        <f t="shared" si="0"/>
        <v>6.4720005000000025E-2</v>
      </c>
      <c r="J6">
        <v>6.4720035000000009E-2</v>
      </c>
      <c r="K6">
        <f t="shared" si="1"/>
        <v>0.12944004000000003</v>
      </c>
      <c r="L6">
        <f t="shared" si="2"/>
        <v>6.4720020000000017E-2</v>
      </c>
    </row>
    <row r="7" spans="1:12" x14ac:dyDescent="0.3">
      <c r="A7">
        <v>0.203419983</v>
      </c>
      <c r="B7">
        <v>0.33705002099999998</v>
      </c>
      <c r="C7">
        <v>0.5</v>
      </c>
      <c r="E7">
        <v>0.20323997699999999</v>
      </c>
      <c r="F7">
        <v>0.25</v>
      </c>
      <c r="G7">
        <v>0.5</v>
      </c>
      <c r="H7">
        <f t="shared" si="0"/>
        <v>1.8000600000001032E-4</v>
      </c>
      <c r="I7">
        <f t="shared" si="0"/>
        <v>8.7050020999999977E-2</v>
      </c>
      <c r="J7">
        <v>8.7050021000000033E-2</v>
      </c>
      <c r="K7">
        <f t="shared" si="1"/>
        <v>0.17410004200000001</v>
      </c>
      <c r="L7">
        <f t="shared" si="2"/>
        <v>8.7050021000000005E-2</v>
      </c>
    </row>
    <row r="8" spans="1:12" x14ac:dyDescent="0.3">
      <c r="A8">
        <v>0.23433999699999999</v>
      </c>
      <c r="B8">
        <v>0.35602998699999999</v>
      </c>
      <c r="C8">
        <v>0.5</v>
      </c>
      <c r="E8">
        <v>0.234490007</v>
      </c>
      <c r="F8">
        <v>0.25</v>
      </c>
      <c r="G8">
        <v>0.5</v>
      </c>
      <c r="H8">
        <f t="shared" si="0"/>
        <v>-1.5001000000000597E-4</v>
      </c>
      <c r="I8">
        <f t="shared" si="0"/>
        <v>0.10602998699999999</v>
      </c>
      <c r="J8">
        <v>0.10602998699999999</v>
      </c>
      <c r="K8">
        <f t="shared" si="1"/>
        <v>0.21205997399999998</v>
      </c>
      <c r="L8">
        <f t="shared" si="2"/>
        <v>0.10602998699999999</v>
      </c>
    </row>
    <row r="9" spans="1:12" x14ac:dyDescent="0.3">
      <c r="A9">
        <v>0.26585000800000003</v>
      </c>
      <c r="B9">
        <v>0.37094002999999998</v>
      </c>
      <c r="C9">
        <v>0.5</v>
      </c>
      <c r="E9">
        <v>0.26573997700000002</v>
      </c>
      <c r="F9">
        <v>0.25</v>
      </c>
      <c r="G9">
        <v>0.5</v>
      </c>
      <c r="H9">
        <f t="shared" si="0"/>
        <v>1.1003100000001043E-4</v>
      </c>
      <c r="I9">
        <f t="shared" si="0"/>
        <v>0.12094002999999998</v>
      </c>
      <c r="J9">
        <v>0.12094002999999998</v>
      </c>
      <c r="K9">
        <f t="shared" si="1"/>
        <v>0.24188005999999995</v>
      </c>
      <c r="L9">
        <f t="shared" si="2"/>
        <v>0.12094002999999998</v>
      </c>
    </row>
    <row r="10" spans="1:12" x14ac:dyDescent="0.3">
      <c r="A10">
        <v>0.29692998500000001</v>
      </c>
      <c r="B10">
        <v>0.38119998599999999</v>
      </c>
      <c r="C10">
        <v>0.5</v>
      </c>
      <c r="E10">
        <v>0.296990007</v>
      </c>
      <c r="F10">
        <v>0.25</v>
      </c>
      <c r="G10">
        <v>0.5</v>
      </c>
      <c r="H10">
        <f t="shared" si="0"/>
        <v>-6.0021999999992914E-5</v>
      </c>
      <c r="I10">
        <f t="shared" si="0"/>
        <v>0.13119998599999999</v>
      </c>
      <c r="J10">
        <v>0.13120001599999997</v>
      </c>
      <c r="K10">
        <f t="shared" si="1"/>
        <v>0.26240000199999997</v>
      </c>
      <c r="L10">
        <f t="shared" si="2"/>
        <v>0.13120000099999998</v>
      </c>
    </row>
    <row r="11" spans="1:12" x14ac:dyDescent="0.3">
      <c r="A11">
        <v>0.32826000500000002</v>
      </c>
      <c r="B11">
        <v>0.38642001199999998</v>
      </c>
      <c r="C11">
        <v>0.5</v>
      </c>
      <c r="E11">
        <v>0.32823997700000002</v>
      </c>
      <c r="F11">
        <v>0.25</v>
      </c>
      <c r="G11">
        <v>0.5</v>
      </c>
      <c r="H11">
        <f t="shared" si="0"/>
        <v>2.0028000000005264E-5</v>
      </c>
      <c r="I11">
        <f t="shared" si="0"/>
        <v>0.13642001199999998</v>
      </c>
      <c r="J11">
        <v>0.13642001199999998</v>
      </c>
      <c r="K11">
        <f t="shared" si="1"/>
        <v>0.27284002399999996</v>
      </c>
      <c r="L11">
        <f t="shared" si="2"/>
        <v>0.13642001199999998</v>
      </c>
    </row>
    <row r="12" spans="1:12" x14ac:dyDescent="0.3">
      <c r="A12">
        <v>0.35951998800000001</v>
      </c>
      <c r="B12">
        <v>0.38640001400000001</v>
      </c>
      <c r="C12">
        <v>0.5</v>
      </c>
      <c r="E12">
        <v>0.359490007</v>
      </c>
      <c r="F12">
        <v>0.25</v>
      </c>
      <c r="G12">
        <v>0.5</v>
      </c>
      <c r="H12">
        <f t="shared" si="0"/>
        <v>2.9981000000012248E-5</v>
      </c>
      <c r="I12">
        <f t="shared" si="0"/>
        <v>0.13640001400000001</v>
      </c>
      <c r="J12">
        <v>0.13639998399999997</v>
      </c>
      <c r="K12">
        <f t="shared" si="1"/>
        <v>0.27279999799999999</v>
      </c>
      <c r="L12">
        <f t="shared" si="2"/>
        <v>0.13639999899999999</v>
      </c>
    </row>
    <row r="13" spans="1:12" x14ac:dyDescent="0.3">
      <c r="A13">
        <v>0.39067000200000002</v>
      </c>
      <c r="B13">
        <v>0.38113999399999998</v>
      </c>
      <c r="C13">
        <v>0.5</v>
      </c>
      <c r="E13">
        <v>0.39073997700000002</v>
      </c>
      <c r="F13">
        <v>0.25</v>
      </c>
      <c r="G13">
        <v>0.5</v>
      </c>
      <c r="H13">
        <f t="shared" si="0"/>
        <v>-6.9974999999999898E-5</v>
      </c>
      <c r="I13">
        <f t="shared" si="0"/>
        <v>0.13113999399999998</v>
      </c>
      <c r="J13">
        <v>0.13113999399999998</v>
      </c>
      <c r="K13">
        <f t="shared" si="1"/>
        <v>0.26227998799999996</v>
      </c>
      <c r="L13">
        <f t="shared" si="2"/>
        <v>0.13113999399999998</v>
      </c>
    </row>
    <row r="14" spans="1:12" x14ac:dyDescent="0.3">
      <c r="A14">
        <v>0.42210999100000002</v>
      </c>
      <c r="B14">
        <v>0.37082999900000002</v>
      </c>
      <c r="C14">
        <v>0.5</v>
      </c>
      <c r="E14">
        <v>0.421990007</v>
      </c>
      <c r="F14">
        <v>0.25</v>
      </c>
      <c r="G14">
        <v>0.5</v>
      </c>
      <c r="H14">
        <f t="shared" si="0"/>
        <v>1.1998400000001741E-4</v>
      </c>
      <c r="I14">
        <f t="shared" si="0"/>
        <v>0.12082999900000002</v>
      </c>
      <c r="J14">
        <v>0.12082999900000002</v>
      </c>
      <c r="K14">
        <f t="shared" si="1"/>
        <v>0.24165999800000004</v>
      </c>
      <c r="L14">
        <f t="shared" si="2"/>
        <v>0.12082999900000002</v>
      </c>
    </row>
    <row r="15" spans="1:12" x14ac:dyDescent="0.3">
      <c r="A15">
        <v>0.45309001199999999</v>
      </c>
      <c r="B15">
        <v>0.35588002200000002</v>
      </c>
      <c r="C15">
        <v>0.5</v>
      </c>
      <c r="E15">
        <v>0.453240007</v>
      </c>
      <c r="F15">
        <v>0.25</v>
      </c>
      <c r="G15">
        <v>0.5</v>
      </c>
      <c r="H15">
        <f t="shared" si="0"/>
        <v>-1.4999500000001387E-4</v>
      </c>
      <c r="I15">
        <f t="shared" si="0"/>
        <v>0.10588002200000002</v>
      </c>
      <c r="J15">
        <v>0.10588002200000002</v>
      </c>
      <c r="K15">
        <f t="shared" si="1"/>
        <v>0.21176004400000004</v>
      </c>
      <c r="L15">
        <f t="shared" si="2"/>
        <v>0.10588002200000002</v>
      </c>
    </row>
    <row r="16" spans="1:12" x14ac:dyDescent="0.3">
      <c r="A16">
        <v>0.48467999699999997</v>
      </c>
      <c r="B16">
        <v>0.33687001500000002</v>
      </c>
      <c r="C16">
        <v>0.5</v>
      </c>
      <c r="E16">
        <v>0.484490007</v>
      </c>
      <c r="F16">
        <v>0.25</v>
      </c>
      <c r="G16">
        <v>0.5</v>
      </c>
      <c r="H16">
        <f t="shared" si="0"/>
        <v>1.8998999999997324E-4</v>
      </c>
      <c r="I16">
        <f t="shared" si="0"/>
        <v>8.6870015000000023E-2</v>
      </c>
      <c r="J16">
        <v>8.6870015000000023E-2</v>
      </c>
      <c r="K16">
        <f t="shared" si="1"/>
        <v>0.17374003000000005</v>
      </c>
      <c r="L16">
        <f t="shared" si="2"/>
        <v>8.6870015000000023E-2</v>
      </c>
    </row>
    <row r="17" spans="1:12" x14ac:dyDescent="0.3">
      <c r="A17">
        <v>0.51552998999999999</v>
      </c>
      <c r="B17">
        <v>0.31450998800000002</v>
      </c>
      <c r="C17">
        <v>0.5</v>
      </c>
      <c r="E17">
        <v>0.51573997699999996</v>
      </c>
      <c r="F17">
        <v>0.25</v>
      </c>
      <c r="G17">
        <v>0.5</v>
      </c>
      <c r="H17">
        <f t="shared" si="0"/>
        <v>-2.0998699999996706E-4</v>
      </c>
      <c r="I17">
        <f t="shared" si="0"/>
        <v>6.4509988000000018E-2</v>
      </c>
      <c r="J17">
        <v>6.4509987999999963E-2</v>
      </c>
      <c r="K17">
        <f t="shared" si="1"/>
        <v>0.12901997599999998</v>
      </c>
      <c r="L17">
        <f t="shared" si="2"/>
        <v>6.450998799999999E-2</v>
      </c>
    </row>
    <row r="18" spans="1:12" x14ac:dyDescent="0.3">
      <c r="A18">
        <v>0.54721999200000004</v>
      </c>
      <c r="B18">
        <v>0.28968000399999999</v>
      </c>
      <c r="C18">
        <v>0.5</v>
      </c>
      <c r="E18">
        <v>0.54698997699999996</v>
      </c>
      <c r="F18">
        <v>0.25</v>
      </c>
      <c r="G18">
        <v>0.5</v>
      </c>
      <c r="H18">
        <f t="shared" si="0"/>
        <v>2.3001500000008335E-4</v>
      </c>
      <c r="I18">
        <f t="shared" si="0"/>
        <v>3.9680003999999991E-2</v>
      </c>
      <c r="J18">
        <v>3.9680004000000046E-2</v>
      </c>
      <c r="K18">
        <f t="shared" si="1"/>
        <v>7.9360008000000037E-2</v>
      </c>
      <c r="L18">
        <f t="shared" si="2"/>
        <v>3.9680004000000019E-2</v>
      </c>
    </row>
    <row r="19" spans="1:12" x14ac:dyDescent="0.3">
      <c r="A19">
        <v>0.57800000900000004</v>
      </c>
      <c r="B19">
        <v>0.26332002900000001</v>
      </c>
      <c r="C19">
        <v>0.5</v>
      </c>
      <c r="E19">
        <v>0.57823997699999996</v>
      </c>
      <c r="F19">
        <v>0.25</v>
      </c>
      <c r="G19">
        <v>0.5</v>
      </c>
      <c r="H19">
        <f t="shared" si="0"/>
        <v>-2.399679999999238E-4</v>
      </c>
      <c r="I19">
        <f t="shared" si="0"/>
        <v>1.3320029000000011E-2</v>
      </c>
      <c r="J19">
        <v>1.3320028999999955E-2</v>
      </c>
      <c r="K19">
        <f t="shared" si="1"/>
        <v>2.6640057999999966E-2</v>
      </c>
      <c r="L19">
        <f t="shared" si="2"/>
        <v>1.3320028999999983E-2</v>
      </c>
    </row>
    <row r="20" spans="1:12" x14ac:dyDescent="0.3">
      <c r="A20">
        <v>0.60973000499999996</v>
      </c>
      <c r="B20">
        <v>0.23645000199999999</v>
      </c>
      <c r="C20">
        <v>0.5</v>
      </c>
      <c r="E20">
        <v>0.60948997699999996</v>
      </c>
      <c r="F20">
        <v>0.25</v>
      </c>
      <c r="G20">
        <v>0.5</v>
      </c>
      <c r="H20">
        <f t="shared" si="0"/>
        <v>2.4002800000000324E-4</v>
      </c>
      <c r="I20">
        <f t="shared" si="0"/>
        <v>-1.3549998000000008E-2</v>
      </c>
      <c r="J20">
        <v>-1.3550042999999956E-2</v>
      </c>
      <c r="K20">
        <f t="shared" si="1"/>
        <v>-2.7100040999999964E-2</v>
      </c>
      <c r="L20">
        <f t="shared" si="2"/>
        <v>-1.3550020499999982E-2</v>
      </c>
    </row>
    <row r="21" spans="1:12" x14ac:dyDescent="0.3">
      <c r="A21">
        <v>0.64050996299999996</v>
      </c>
      <c r="B21">
        <v>0.21009999500000001</v>
      </c>
      <c r="C21">
        <v>0.5</v>
      </c>
      <c r="E21">
        <v>0.64074003700000004</v>
      </c>
      <c r="F21">
        <v>0.25</v>
      </c>
      <c r="G21">
        <v>0.5</v>
      </c>
      <c r="H21">
        <f t="shared" si="0"/>
        <v>-2.3007400000008005E-4</v>
      </c>
      <c r="I21">
        <f t="shared" si="0"/>
        <v>-3.9900004999999988E-2</v>
      </c>
      <c r="J21">
        <v>-3.9900005000000016E-2</v>
      </c>
      <c r="K21">
        <f t="shared" si="1"/>
        <v>-7.9800010000000005E-2</v>
      </c>
      <c r="L21">
        <f t="shared" si="2"/>
        <v>-3.9900005000000002E-2</v>
      </c>
    </row>
    <row r="22" spans="1:12" x14ac:dyDescent="0.3">
      <c r="A22">
        <v>0.67220002400000001</v>
      </c>
      <c r="B22">
        <v>0.185279995</v>
      </c>
      <c r="C22">
        <v>0.5</v>
      </c>
      <c r="E22">
        <v>0.67198997699999996</v>
      </c>
      <c r="F22">
        <v>0.25</v>
      </c>
      <c r="G22">
        <v>0.5</v>
      </c>
      <c r="H22">
        <f t="shared" si="0"/>
        <v>2.100470000000465E-4</v>
      </c>
      <c r="I22">
        <f t="shared" si="0"/>
        <v>-6.4720004999999997E-2</v>
      </c>
      <c r="J22">
        <v>-6.4720035000000009E-2</v>
      </c>
      <c r="K22">
        <f t="shared" si="1"/>
        <v>-0.12944004000000001</v>
      </c>
      <c r="L22">
        <f t="shared" si="2"/>
        <v>-6.4720020000000003E-2</v>
      </c>
    </row>
    <row r="23" spans="1:12" x14ac:dyDescent="0.3">
      <c r="A23">
        <v>0.70306003100000003</v>
      </c>
      <c r="B23">
        <v>0.16294997899999999</v>
      </c>
      <c r="C23">
        <v>0.5</v>
      </c>
      <c r="E23">
        <v>0.70324003700000004</v>
      </c>
      <c r="F23">
        <v>0.25</v>
      </c>
      <c r="G23">
        <v>0.5</v>
      </c>
      <c r="H23">
        <f t="shared" si="0"/>
        <v>-1.8000600000001032E-4</v>
      </c>
      <c r="I23">
        <f t="shared" si="0"/>
        <v>-8.7050021000000005E-2</v>
      </c>
      <c r="J23">
        <v>-8.7050021000000033E-2</v>
      </c>
      <c r="K23">
        <f t="shared" si="1"/>
        <v>-0.17410004200000004</v>
      </c>
      <c r="L23">
        <f t="shared" si="2"/>
        <v>-8.7050021000000019E-2</v>
      </c>
    </row>
    <row r="24" spans="1:12" x14ac:dyDescent="0.3">
      <c r="A24">
        <v>0.73464000200000001</v>
      </c>
      <c r="B24">
        <v>0.14396999799999999</v>
      </c>
      <c r="C24">
        <v>0.5</v>
      </c>
      <c r="E24">
        <v>0.73448997699999996</v>
      </c>
      <c r="F24">
        <v>0.25</v>
      </c>
      <c r="G24">
        <v>0.5</v>
      </c>
      <c r="H24">
        <f t="shared" si="0"/>
        <v>1.5002500000005359E-4</v>
      </c>
      <c r="I24">
        <f t="shared" si="0"/>
        <v>-0.10603000200000001</v>
      </c>
      <c r="J24">
        <v>-0.10602998699999999</v>
      </c>
      <c r="K24">
        <f t="shared" si="1"/>
        <v>-0.212059989</v>
      </c>
      <c r="L24">
        <f t="shared" si="2"/>
        <v>-0.1060299945</v>
      </c>
    </row>
    <row r="25" spans="1:12" x14ac:dyDescent="0.3">
      <c r="A25">
        <v>0.76563000699999995</v>
      </c>
      <c r="B25">
        <v>0.12905997</v>
      </c>
      <c r="C25">
        <v>0.5</v>
      </c>
      <c r="E25">
        <v>0.76574003700000004</v>
      </c>
      <c r="F25">
        <v>0.25</v>
      </c>
      <c r="G25">
        <v>0.5</v>
      </c>
      <c r="H25">
        <f t="shared" si="0"/>
        <v>-1.1003000000009422E-4</v>
      </c>
      <c r="I25">
        <f t="shared" si="0"/>
        <v>-0.12094003</v>
      </c>
      <c r="J25">
        <v>-0.12094002999999998</v>
      </c>
      <c r="K25">
        <f t="shared" si="1"/>
        <v>-0.24188005999999998</v>
      </c>
      <c r="L25">
        <f t="shared" si="2"/>
        <v>-0.12094002999999999</v>
      </c>
    </row>
    <row r="26" spans="1:12" x14ac:dyDescent="0.3">
      <c r="A26">
        <v>0.79706001299999996</v>
      </c>
      <c r="B26">
        <v>0.118799999</v>
      </c>
      <c r="C26">
        <v>0.5</v>
      </c>
      <c r="E26">
        <v>0.79698997699999996</v>
      </c>
      <c r="F26">
        <v>0.25</v>
      </c>
      <c r="G26">
        <v>0.5</v>
      </c>
      <c r="H26">
        <f t="shared" si="0"/>
        <v>7.0035999999995546E-5</v>
      </c>
      <c r="I26">
        <f t="shared" si="0"/>
        <v>-0.13120000100000001</v>
      </c>
      <c r="J26">
        <v>-0.13119995600000001</v>
      </c>
      <c r="K26">
        <f t="shared" si="1"/>
        <v>-0.26239995700000002</v>
      </c>
      <c r="L26">
        <f t="shared" si="2"/>
        <v>-0.13119997850000001</v>
      </c>
    </row>
    <row r="27" spans="1:12" x14ac:dyDescent="0.3">
      <c r="A27">
        <v>0.82822001000000001</v>
      </c>
      <c r="B27">
        <v>0.11357998800000001</v>
      </c>
      <c r="C27">
        <v>0.5</v>
      </c>
      <c r="E27">
        <v>0.82824003700000004</v>
      </c>
      <c r="F27">
        <v>0.25</v>
      </c>
      <c r="G27">
        <v>0.5</v>
      </c>
      <c r="H27">
        <f t="shared" si="0"/>
        <v>-2.0027000000033546E-5</v>
      </c>
      <c r="I27">
        <f t="shared" si="0"/>
        <v>-0.13642001199999998</v>
      </c>
      <c r="J27">
        <v>-0.13642001199999998</v>
      </c>
      <c r="K27">
        <f t="shared" si="1"/>
        <v>-0.27284002399999996</v>
      </c>
      <c r="L27">
        <f t="shared" si="2"/>
        <v>-0.13642001199999998</v>
      </c>
    </row>
    <row r="28" spans="1:12" x14ac:dyDescent="0.3">
      <c r="A28">
        <v>0.859459996</v>
      </c>
      <c r="B28">
        <v>0.11360000100000001</v>
      </c>
      <c r="C28">
        <v>0.5</v>
      </c>
      <c r="E28">
        <v>0.85948997699999996</v>
      </c>
      <c r="F28">
        <v>0.25</v>
      </c>
      <c r="G28">
        <v>0.5</v>
      </c>
      <c r="H28">
        <f t="shared" si="0"/>
        <v>-2.9980999999956737E-5</v>
      </c>
      <c r="I28">
        <f t="shared" si="0"/>
        <v>-0.13639999899999999</v>
      </c>
      <c r="J28">
        <v>-0.13639998399999997</v>
      </c>
      <c r="K28">
        <f t="shared" si="1"/>
        <v>-0.27279998299999997</v>
      </c>
      <c r="L28">
        <f t="shared" si="2"/>
        <v>-0.13639999149999998</v>
      </c>
    </row>
    <row r="29" spans="1:12" x14ac:dyDescent="0.3">
      <c r="A29">
        <v>0.89082002599999999</v>
      </c>
      <c r="B29">
        <v>0.118860006</v>
      </c>
      <c r="C29">
        <v>0.5</v>
      </c>
      <c r="E29">
        <v>0.89074003700000004</v>
      </c>
      <c r="F29">
        <v>0.25</v>
      </c>
      <c r="G29">
        <v>0.5</v>
      </c>
      <c r="H29">
        <f t="shared" si="0"/>
        <v>7.9988999999947019E-5</v>
      </c>
      <c r="I29">
        <f t="shared" si="0"/>
        <v>-0.13113999399999998</v>
      </c>
      <c r="J29">
        <v>-0.13113999399999998</v>
      </c>
      <c r="K29">
        <f t="shared" si="1"/>
        <v>-0.26227998799999996</v>
      </c>
      <c r="L29">
        <f t="shared" si="2"/>
        <v>-0.13113999399999998</v>
      </c>
    </row>
    <row r="30" spans="1:12" x14ac:dyDescent="0.3">
      <c r="A30">
        <v>0.92188000699999995</v>
      </c>
      <c r="B30">
        <v>0.12917000100000001</v>
      </c>
      <c r="C30">
        <v>0.5</v>
      </c>
      <c r="E30">
        <v>0.92198997699999996</v>
      </c>
      <c r="F30">
        <v>0.25</v>
      </c>
      <c r="G30">
        <v>0.5</v>
      </c>
      <c r="H30">
        <f t="shared" si="0"/>
        <v>-1.0997000000001478E-4</v>
      </c>
      <c r="I30">
        <f t="shared" si="0"/>
        <v>-0.12082999899999999</v>
      </c>
      <c r="J30">
        <v>-0.12082999900000002</v>
      </c>
      <c r="K30">
        <f t="shared" si="1"/>
        <v>-0.24165999800000001</v>
      </c>
      <c r="L30">
        <f t="shared" si="2"/>
        <v>-0.12082999900000001</v>
      </c>
    </row>
    <row r="31" spans="1:12" x14ac:dyDescent="0.3">
      <c r="A31">
        <v>0.95340001600000002</v>
      </c>
      <c r="B31">
        <v>0.14411997800000001</v>
      </c>
      <c r="C31">
        <v>0.5</v>
      </c>
      <c r="E31">
        <v>0.95324003700000004</v>
      </c>
      <c r="F31">
        <v>0.25</v>
      </c>
      <c r="G31">
        <v>0.5</v>
      </c>
      <c r="H31">
        <f t="shared" si="0"/>
        <v>1.5997899999997678E-4</v>
      </c>
      <c r="I31">
        <f t="shared" si="0"/>
        <v>-0.10588002199999999</v>
      </c>
      <c r="J31">
        <v>-0.10588002200000002</v>
      </c>
      <c r="K31">
        <f t="shared" si="1"/>
        <v>-0.21176004400000001</v>
      </c>
      <c r="L31">
        <f t="shared" si="2"/>
        <v>-0.105880022</v>
      </c>
    </row>
    <row r="32" spans="1:12" x14ac:dyDescent="0.3">
      <c r="A32">
        <v>0.98430001700000003</v>
      </c>
      <c r="B32">
        <v>0.16313</v>
      </c>
      <c r="C32">
        <v>0.5</v>
      </c>
      <c r="E32">
        <v>0.98448997699999996</v>
      </c>
      <c r="F32">
        <v>0.25</v>
      </c>
      <c r="G32">
        <v>0.5</v>
      </c>
      <c r="H32">
        <f t="shared" si="0"/>
        <v>-1.8995999999993352E-4</v>
      </c>
      <c r="I32">
        <f t="shared" si="0"/>
        <v>-8.6870000000000003E-2</v>
      </c>
      <c r="J32">
        <v>-8.6870015000000023E-2</v>
      </c>
      <c r="K32">
        <f t="shared" si="1"/>
        <v>-0.17374001500000003</v>
      </c>
      <c r="L32">
        <f t="shared" si="2"/>
        <v>-8.6870007500000013E-2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40692-E5A9-4E3B-9F9F-6B9AA6096DB7}">
  <dimension ref="A1:I32"/>
  <sheetViews>
    <sheetView topLeftCell="A12" workbookViewId="0">
      <selection activeCell="I1" sqref="I1:I32"/>
    </sheetView>
  </sheetViews>
  <sheetFormatPr defaultRowHeight="14" x14ac:dyDescent="0.3"/>
  <sheetData>
    <row r="1" spans="1:9" x14ac:dyDescent="0.3">
      <c r="A1">
        <v>1.553E-2</v>
      </c>
      <c r="B1">
        <v>0.68549001200000004</v>
      </c>
      <c r="C1">
        <v>0.5</v>
      </c>
      <c r="E1">
        <v>1.5740000000000001E-2</v>
      </c>
      <c r="F1">
        <v>0.75</v>
      </c>
      <c r="G1">
        <v>0.5</v>
      </c>
      <c r="H1">
        <f>A1-E1</f>
        <v>-2.1000000000000012E-4</v>
      </c>
      <c r="I1">
        <f>B1-F1</f>
        <v>-6.4509987999999963E-2</v>
      </c>
    </row>
    <row r="2" spans="1:9" x14ac:dyDescent="0.3">
      <c r="A2">
        <v>4.7219992000000002E-2</v>
      </c>
      <c r="B2">
        <v>0.71031999599999995</v>
      </c>
      <c r="C2">
        <v>0.5</v>
      </c>
      <c r="E2">
        <v>4.6989977000000002E-2</v>
      </c>
      <c r="F2">
        <v>0.75</v>
      </c>
      <c r="G2">
        <v>0.5</v>
      </c>
      <c r="H2">
        <f t="shared" ref="H2:I32" si="0">A2-E2</f>
        <v>2.3001500000000008E-4</v>
      </c>
      <c r="I2">
        <f t="shared" si="0"/>
        <v>-3.9680004000000046E-2</v>
      </c>
    </row>
    <row r="3" spans="1:9" x14ac:dyDescent="0.3">
      <c r="A3">
        <v>7.8000001999999999E-2</v>
      </c>
      <c r="B3">
        <v>0.73667997100000004</v>
      </c>
      <c r="C3">
        <v>0.5</v>
      </c>
      <c r="E3">
        <v>7.8240000000000004E-2</v>
      </c>
      <c r="F3">
        <v>0.75</v>
      </c>
      <c r="G3">
        <v>0.5</v>
      </c>
      <c r="H3">
        <f t="shared" si="0"/>
        <v>-2.3999800000000515E-4</v>
      </c>
      <c r="I3">
        <f t="shared" si="0"/>
        <v>-1.3320028999999955E-2</v>
      </c>
    </row>
    <row r="4" spans="1:9" x14ac:dyDescent="0.3">
      <c r="A4">
        <v>0.10973000500000001</v>
      </c>
      <c r="B4">
        <v>0.76354998399999996</v>
      </c>
      <c r="C4">
        <v>0.5</v>
      </c>
      <c r="E4">
        <v>0.109489977</v>
      </c>
      <c r="F4">
        <v>0.75</v>
      </c>
      <c r="G4">
        <v>0.5</v>
      </c>
      <c r="H4">
        <f t="shared" si="0"/>
        <v>2.4002800000000324E-4</v>
      </c>
      <c r="I4">
        <f t="shared" si="0"/>
        <v>1.3549983999999959E-2</v>
      </c>
    </row>
    <row r="5" spans="1:9" x14ac:dyDescent="0.3">
      <c r="A5">
        <v>0.140509993</v>
      </c>
      <c r="B5">
        <v>0.78990000500000002</v>
      </c>
      <c r="C5">
        <v>0.5</v>
      </c>
      <c r="E5">
        <v>0.140740007</v>
      </c>
      <c r="F5">
        <v>0.75</v>
      </c>
      <c r="G5">
        <v>0.5</v>
      </c>
      <c r="H5">
        <f t="shared" si="0"/>
        <v>-2.3001400000000061E-4</v>
      </c>
      <c r="I5">
        <f t="shared" si="0"/>
        <v>3.9900005000000016E-2</v>
      </c>
    </row>
    <row r="6" spans="1:9" x14ac:dyDescent="0.3">
      <c r="A6">
        <v>0.17220002400000001</v>
      </c>
      <c r="B6">
        <v>0.81472003500000001</v>
      </c>
      <c r="C6">
        <v>0.5</v>
      </c>
      <c r="E6">
        <v>0.17198997699999999</v>
      </c>
      <c r="F6">
        <v>0.75</v>
      </c>
      <c r="G6">
        <v>0.5</v>
      </c>
      <c r="H6">
        <f t="shared" si="0"/>
        <v>2.1004700000001875E-4</v>
      </c>
      <c r="I6">
        <f t="shared" si="0"/>
        <v>6.4720035000000009E-2</v>
      </c>
    </row>
    <row r="7" spans="1:9" x14ac:dyDescent="0.3">
      <c r="A7">
        <v>0.20306000099999999</v>
      </c>
      <c r="B7">
        <v>0.83705002100000003</v>
      </c>
      <c r="C7">
        <v>0.5</v>
      </c>
      <c r="E7">
        <v>0.203240007</v>
      </c>
      <c r="F7">
        <v>0.75</v>
      </c>
      <c r="G7">
        <v>0.5</v>
      </c>
      <c r="H7">
        <f t="shared" si="0"/>
        <v>-1.8000600000001032E-4</v>
      </c>
      <c r="I7">
        <f t="shared" si="0"/>
        <v>8.7050021000000033E-2</v>
      </c>
    </row>
    <row r="8" spans="1:9" x14ac:dyDescent="0.3">
      <c r="A8">
        <v>0.23464000199999999</v>
      </c>
      <c r="B8">
        <v>0.85602998699999999</v>
      </c>
      <c r="C8">
        <v>0.5</v>
      </c>
      <c r="E8">
        <v>0.23448997699999999</v>
      </c>
      <c r="F8">
        <v>0.75</v>
      </c>
      <c r="G8">
        <v>0.5</v>
      </c>
      <c r="H8">
        <f t="shared" si="0"/>
        <v>1.5002499999999808E-4</v>
      </c>
      <c r="I8">
        <f t="shared" si="0"/>
        <v>0.10602998699999999</v>
      </c>
    </row>
    <row r="9" spans="1:9" x14ac:dyDescent="0.3">
      <c r="A9">
        <v>0.265630007</v>
      </c>
      <c r="B9">
        <v>0.87094002999999998</v>
      </c>
      <c r="C9">
        <v>0.5</v>
      </c>
      <c r="E9">
        <v>0.265740007</v>
      </c>
      <c r="F9">
        <v>0.75</v>
      </c>
      <c r="G9">
        <v>0.5</v>
      </c>
      <c r="H9">
        <f t="shared" si="0"/>
        <v>-1.0999999999999899E-4</v>
      </c>
      <c r="I9">
        <f t="shared" si="0"/>
        <v>0.12094002999999998</v>
      </c>
    </row>
    <row r="10" spans="1:9" x14ac:dyDescent="0.3">
      <c r="A10">
        <v>0.29706001300000001</v>
      </c>
      <c r="B10">
        <v>0.88120001599999997</v>
      </c>
      <c r="C10">
        <v>0.5</v>
      </c>
      <c r="E10">
        <v>0.29698997700000002</v>
      </c>
      <c r="F10">
        <v>0.75</v>
      </c>
      <c r="G10">
        <v>0.5</v>
      </c>
      <c r="H10">
        <f t="shared" si="0"/>
        <v>7.0035999999995546E-5</v>
      </c>
      <c r="I10">
        <f t="shared" si="0"/>
        <v>0.13120001599999997</v>
      </c>
    </row>
    <row r="11" spans="1:9" x14ac:dyDescent="0.3">
      <c r="A11">
        <v>0.32822001000000001</v>
      </c>
      <c r="B11">
        <v>0.88642001199999998</v>
      </c>
      <c r="C11">
        <v>0.5</v>
      </c>
      <c r="E11">
        <v>0.328240007</v>
      </c>
      <c r="F11">
        <v>0.75</v>
      </c>
      <c r="G11">
        <v>0.5</v>
      </c>
      <c r="H11">
        <f t="shared" si="0"/>
        <v>-1.9996999999993825E-5</v>
      </c>
      <c r="I11">
        <f t="shared" si="0"/>
        <v>0.13642001199999998</v>
      </c>
    </row>
    <row r="12" spans="1:9" x14ac:dyDescent="0.3">
      <c r="A12">
        <v>0.359459996</v>
      </c>
      <c r="B12">
        <v>0.88639998399999997</v>
      </c>
      <c r="C12">
        <v>0.5</v>
      </c>
      <c r="E12">
        <v>0.35948997700000002</v>
      </c>
      <c r="F12">
        <v>0.75</v>
      </c>
      <c r="G12">
        <v>0.5</v>
      </c>
      <c r="H12">
        <f t="shared" si="0"/>
        <v>-2.9981000000012248E-5</v>
      </c>
      <c r="I12">
        <f t="shared" si="0"/>
        <v>0.13639998399999997</v>
      </c>
    </row>
    <row r="13" spans="1:9" x14ac:dyDescent="0.3">
      <c r="A13">
        <v>0.39081999699999997</v>
      </c>
      <c r="B13">
        <v>0.88113999399999998</v>
      </c>
      <c r="C13">
        <v>0.5</v>
      </c>
      <c r="E13">
        <v>0.390740007</v>
      </c>
      <c r="F13">
        <v>0.75</v>
      </c>
      <c r="G13">
        <v>0.5</v>
      </c>
      <c r="H13">
        <f t="shared" si="0"/>
        <v>7.9989999999974248E-5</v>
      </c>
      <c r="I13">
        <f t="shared" si="0"/>
        <v>0.13113999399999998</v>
      </c>
    </row>
    <row r="14" spans="1:9" x14ac:dyDescent="0.3">
      <c r="A14">
        <v>0.421880007</v>
      </c>
      <c r="B14">
        <v>0.87082999900000002</v>
      </c>
      <c r="C14">
        <v>0.5</v>
      </c>
      <c r="E14">
        <v>0.421990007</v>
      </c>
      <c r="F14">
        <v>0.75</v>
      </c>
      <c r="G14">
        <v>0.5</v>
      </c>
      <c r="H14">
        <f t="shared" si="0"/>
        <v>-1.0999999999999899E-4</v>
      </c>
      <c r="I14">
        <f t="shared" si="0"/>
        <v>0.12082999900000002</v>
      </c>
    </row>
    <row r="15" spans="1:9" x14ac:dyDescent="0.3">
      <c r="A15">
        <v>0.45339998599999998</v>
      </c>
      <c r="B15">
        <v>0.85588002200000002</v>
      </c>
      <c r="C15">
        <v>0.5</v>
      </c>
      <c r="E15">
        <v>0.453240007</v>
      </c>
      <c r="F15">
        <v>0.75</v>
      </c>
      <c r="G15">
        <v>0.5</v>
      </c>
      <c r="H15">
        <f t="shared" si="0"/>
        <v>1.5997899999997678E-4</v>
      </c>
      <c r="I15">
        <f t="shared" si="0"/>
        <v>0.10588002200000002</v>
      </c>
    </row>
    <row r="16" spans="1:9" x14ac:dyDescent="0.3">
      <c r="A16">
        <v>0.48429998800000001</v>
      </c>
      <c r="B16">
        <v>0.83687001500000002</v>
      </c>
      <c r="C16">
        <v>0.5</v>
      </c>
      <c r="E16">
        <v>0.484490007</v>
      </c>
      <c r="F16">
        <v>0.75</v>
      </c>
      <c r="G16">
        <v>0.5</v>
      </c>
      <c r="H16">
        <f t="shared" si="0"/>
        <v>-1.9001899999998573E-4</v>
      </c>
      <c r="I16">
        <f t="shared" si="0"/>
        <v>8.6870015000000023E-2</v>
      </c>
    </row>
    <row r="17" spans="1:9" x14ac:dyDescent="0.3">
      <c r="A17">
        <v>0.51595997800000004</v>
      </c>
      <c r="B17">
        <v>0.81450998799999996</v>
      </c>
      <c r="C17">
        <v>0.5</v>
      </c>
      <c r="E17">
        <v>0.51573997699999996</v>
      </c>
      <c r="F17">
        <v>0.75</v>
      </c>
      <c r="G17">
        <v>0.5</v>
      </c>
      <c r="H17">
        <f t="shared" si="0"/>
        <v>2.2000100000008072E-4</v>
      </c>
      <c r="I17">
        <f t="shared" si="0"/>
        <v>6.4509987999999963E-2</v>
      </c>
    </row>
    <row r="18" spans="1:9" x14ac:dyDescent="0.3">
      <c r="A18">
        <v>0.54676002300000004</v>
      </c>
      <c r="B18">
        <v>0.78968000400000005</v>
      </c>
      <c r="C18">
        <v>0.5</v>
      </c>
      <c r="E18">
        <v>0.54698997699999996</v>
      </c>
      <c r="F18">
        <v>0.75</v>
      </c>
      <c r="G18">
        <v>0.5</v>
      </c>
      <c r="H18">
        <f t="shared" si="0"/>
        <v>-2.2995399999992117E-4</v>
      </c>
      <c r="I18">
        <f t="shared" si="0"/>
        <v>3.9680004000000046E-2</v>
      </c>
    </row>
    <row r="19" spans="1:9" x14ac:dyDescent="0.3">
      <c r="A19">
        <v>0.57848000499999996</v>
      </c>
      <c r="B19">
        <v>0.76332002899999996</v>
      </c>
      <c r="C19">
        <v>0.5</v>
      </c>
      <c r="E19">
        <v>0.57823997699999996</v>
      </c>
      <c r="F19">
        <v>0.75</v>
      </c>
      <c r="G19">
        <v>0.5</v>
      </c>
      <c r="H19">
        <f t="shared" si="0"/>
        <v>2.4002800000000324E-4</v>
      </c>
      <c r="I19">
        <f t="shared" si="0"/>
        <v>1.3320028999999955E-2</v>
      </c>
    </row>
    <row r="20" spans="1:9" x14ac:dyDescent="0.3">
      <c r="A20">
        <v>0.60925000900000004</v>
      </c>
      <c r="B20">
        <v>0.73644995700000004</v>
      </c>
      <c r="C20">
        <v>0.5</v>
      </c>
      <c r="E20">
        <v>0.60948997699999996</v>
      </c>
      <c r="F20">
        <v>0.75</v>
      </c>
      <c r="G20">
        <v>0.5</v>
      </c>
      <c r="H20">
        <f t="shared" si="0"/>
        <v>-2.399679999999238E-4</v>
      </c>
      <c r="I20">
        <f t="shared" si="0"/>
        <v>-1.3550042999999956E-2</v>
      </c>
    </row>
    <row r="21" spans="1:9" x14ac:dyDescent="0.3">
      <c r="A21">
        <v>0.64096999200000004</v>
      </c>
      <c r="B21">
        <v>0.71009999499999998</v>
      </c>
      <c r="C21">
        <v>0.5</v>
      </c>
      <c r="E21">
        <v>0.64073997699999996</v>
      </c>
      <c r="F21">
        <v>0.75</v>
      </c>
      <c r="G21">
        <v>0.5</v>
      </c>
      <c r="H21">
        <f t="shared" si="0"/>
        <v>2.3001500000008335E-4</v>
      </c>
      <c r="I21">
        <f t="shared" si="0"/>
        <v>-3.9900005000000016E-2</v>
      </c>
    </row>
    <row r="22" spans="1:9" x14ac:dyDescent="0.3">
      <c r="A22">
        <v>0.67177998999999999</v>
      </c>
      <c r="B22">
        <v>0.68527996499999999</v>
      </c>
      <c r="C22">
        <v>0.5</v>
      </c>
      <c r="E22">
        <v>0.67199003700000004</v>
      </c>
      <c r="F22">
        <v>0.75</v>
      </c>
      <c r="G22">
        <v>0.5</v>
      </c>
      <c r="H22">
        <f t="shared" si="0"/>
        <v>-2.100470000000465E-4</v>
      </c>
      <c r="I22">
        <f t="shared" si="0"/>
        <v>-6.4720035000000009E-2</v>
      </c>
    </row>
    <row r="23" spans="1:9" x14ac:dyDescent="0.3">
      <c r="A23">
        <v>0.70341998299999997</v>
      </c>
      <c r="B23">
        <v>0.66294997899999997</v>
      </c>
      <c r="C23">
        <v>0.5</v>
      </c>
      <c r="E23">
        <v>0.70323997699999996</v>
      </c>
      <c r="F23">
        <v>0.75</v>
      </c>
      <c r="G23">
        <v>0.5</v>
      </c>
      <c r="H23">
        <f t="shared" si="0"/>
        <v>1.8000600000001032E-4</v>
      </c>
      <c r="I23">
        <f t="shared" si="0"/>
        <v>-8.7050021000000033E-2</v>
      </c>
    </row>
    <row r="24" spans="1:9" x14ac:dyDescent="0.3">
      <c r="A24">
        <v>0.73434001199999999</v>
      </c>
      <c r="B24">
        <v>0.64397001300000001</v>
      </c>
      <c r="C24">
        <v>0.5</v>
      </c>
      <c r="E24">
        <v>0.73449003700000004</v>
      </c>
      <c r="F24">
        <v>0.75</v>
      </c>
      <c r="G24">
        <v>0.5</v>
      </c>
      <c r="H24">
        <f t="shared" si="0"/>
        <v>-1.5002500000005359E-4</v>
      </c>
      <c r="I24">
        <f t="shared" si="0"/>
        <v>-0.10602998699999999</v>
      </c>
    </row>
    <row r="25" spans="1:9" x14ac:dyDescent="0.3">
      <c r="A25">
        <v>0.76585000800000003</v>
      </c>
      <c r="B25">
        <v>0.62905997000000002</v>
      </c>
      <c r="C25">
        <v>0.5</v>
      </c>
      <c r="E25">
        <v>0.76573997699999996</v>
      </c>
      <c r="F25">
        <v>0.75</v>
      </c>
      <c r="G25">
        <v>0.5</v>
      </c>
      <c r="H25">
        <f t="shared" si="0"/>
        <v>1.1003100000006594E-4</v>
      </c>
      <c r="I25">
        <f t="shared" si="0"/>
        <v>-0.12094002999999998</v>
      </c>
    </row>
    <row r="26" spans="1:9" x14ac:dyDescent="0.3">
      <c r="A26">
        <v>0.79692995499999997</v>
      </c>
      <c r="B26">
        <v>0.61880004399999999</v>
      </c>
      <c r="C26">
        <v>0.5</v>
      </c>
      <c r="E26">
        <v>0.79699003700000004</v>
      </c>
      <c r="F26">
        <v>0.75</v>
      </c>
      <c r="G26">
        <v>0.5</v>
      </c>
      <c r="H26">
        <f t="shared" si="0"/>
        <v>-6.0082000000072355E-5</v>
      </c>
      <c r="I26">
        <f t="shared" si="0"/>
        <v>-0.13119995600000001</v>
      </c>
    </row>
    <row r="27" spans="1:9" x14ac:dyDescent="0.3">
      <c r="A27">
        <v>0.82826000499999997</v>
      </c>
      <c r="B27">
        <v>0.61357998800000002</v>
      </c>
      <c r="C27">
        <v>0.5</v>
      </c>
      <c r="E27">
        <v>0.82823997699999996</v>
      </c>
      <c r="F27">
        <v>0.75</v>
      </c>
      <c r="G27">
        <v>0.5</v>
      </c>
      <c r="H27">
        <f t="shared" si="0"/>
        <v>2.0028000000005264E-5</v>
      </c>
      <c r="I27">
        <f t="shared" si="0"/>
        <v>-0.13642001199999998</v>
      </c>
    </row>
    <row r="28" spans="1:9" x14ac:dyDescent="0.3">
      <c r="A28">
        <v>0.85951995800000003</v>
      </c>
      <c r="B28">
        <v>0.61360001600000003</v>
      </c>
      <c r="C28">
        <v>0.5</v>
      </c>
      <c r="E28">
        <v>0.85949003700000004</v>
      </c>
      <c r="F28">
        <v>0.75</v>
      </c>
      <c r="G28">
        <v>0.5</v>
      </c>
      <c r="H28">
        <f t="shared" si="0"/>
        <v>2.9920999999988318E-5</v>
      </c>
      <c r="I28">
        <f t="shared" si="0"/>
        <v>-0.13639998399999997</v>
      </c>
    </row>
    <row r="29" spans="1:9" x14ac:dyDescent="0.3">
      <c r="A29">
        <v>0.89067000200000002</v>
      </c>
      <c r="B29">
        <v>0.61886000600000002</v>
      </c>
      <c r="C29">
        <v>0.5</v>
      </c>
      <c r="E29">
        <v>0.89073997699999996</v>
      </c>
      <c r="F29">
        <v>0.75</v>
      </c>
      <c r="G29">
        <v>0.5</v>
      </c>
      <c r="H29">
        <f t="shared" si="0"/>
        <v>-6.9974999999944387E-5</v>
      </c>
      <c r="I29">
        <f t="shared" si="0"/>
        <v>-0.13113999399999998</v>
      </c>
    </row>
    <row r="30" spans="1:9" x14ac:dyDescent="0.3">
      <c r="A30">
        <v>0.92210996199999995</v>
      </c>
      <c r="B30">
        <v>0.62917000099999998</v>
      </c>
      <c r="C30">
        <v>0.5</v>
      </c>
      <c r="E30">
        <v>0.92199003700000004</v>
      </c>
      <c r="F30">
        <v>0.75</v>
      </c>
      <c r="G30">
        <v>0.5</v>
      </c>
      <c r="H30">
        <f t="shared" si="0"/>
        <v>1.1992499999990969E-4</v>
      </c>
      <c r="I30">
        <f t="shared" si="0"/>
        <v>-0.12082999900000002</v>
      </c>
    </row>
    <row r="31" spans="1:9" x14ac:dyDescent="0.3">
      <c r="A31">
        <v>0.95309001199999999</v>
      </c>
      <c r="B31">
        <v>0.64411997799999998</v>
      </c>
      <c r="C31">
        <v>0.5</v>
      </c>
      <c r="E31">
        <v>0.95323997699999996</v>
      </c>
      <c r="F31">
        <v>0.75</v>
      </c>
      <c r="G31">
        <v>0.5</v>
      </c>
      <c r="H31">
        <f t="shared" si="0"/>
        <v>-1.4996499999997415E-4</v>
      </c>
      <c r="I31">
        <f t="shared" si="0"/>
        <v>-0.10588002200000002</v>
      </c>
    </row>
    <row r="32" spans="1:9" x14ac:dyDescent="0.3">
      <c r="A32">
        <v>0.98467999699999997</v>
      </c>
      <c r="B32">
        <v>0.66312998499999998</v>
      </c>
      <c r="C32">
        <v>0.5</v>
      </c>
      <c r="E32">
        <v>0.98449003700000004</v>
      </c>
      <c r="F32">
        <v>0.75</v>
      </c>
      <c r="G32">
        <v>0.5</v>
      </c>
      <c r="H32">
        <f t="shared" si="0"/>
        <v>1.8995999999993352E-4</v>
      </c>
      <c r="I32">
        <f t="shared" si="0"/>
        <v>-8.6870015000000023E-2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F5AF7-EF01-4337-9738-7DF36EF319CF}">
  <dimension ref="A1:I32"/>
  <sheetViews>
    <sheetView topLeftCell="A12" workbookViewId="0">
      <selection activeCell="I1" sqref="I1:I32"/>
    </sheetView>
  </sheetViews>
  <sheetFormatPr defaultRowHeight="14" x14ac:dyDescent="0.3"/>
  <sheetData>
    <row r="1" spans="1:9" x14ac:dyDescent="0.3">
      <c r="A1">
        <v>1.2E-4</v>
      </c>
      <c r="B1">
        <v>0.42519000200000001</v>
      </c>
      <c r="C1">
        <v>0</v>
      </c>
      <c r="E1">
        <v>1.2E-4</v>
      </c>
      <c r="F1">
        <v>0.5</v>
      </c>
      <c r="G1">
        <v>0</v>
      </c>
      <c r="H1">
        <f>A1-E1</f>
        <v>0</v>
      </c>
      <c r="I1">
        <f>B1-F1</f>
        <v>-7.4809997999999989E-2</v>
      </c>
    </row>
    <row r="2" spans="1:9" x14ac:dyDescent="0.3">
      <c r="A2">
        <v>3.1369999000000003E-2</v>
      </c>
      <c r="B2">
        <v>0.94911998500000005</v>
      </c>
      <c r="C2">
        <v>0</v>
      </c>
      <c r="E2">
        <v>3.1369999000000003E-2</v>
      </c>
      <c r="F2">
        <v>0</v>
      </c>
      <c r="G2">
        <v>0</v>
      </c>
      <c r="H2">
        <f t="shared" ref="H2:I32" si="0">A2-E2</f>
        <v>0</v>
      </c>
      <c r="I2">
        <f>B2-F2-1</f>
        <v>-5.0880014999999945E-2</v>
      </c>
    </row>
    <row r="3" spans="1:9" x14ac:dyDescent="0.3">
      <c r="A3">
        <v>6.2619998999999996E-2</v>
      </c>
      <c r="B3">
        <v>0.47501000799999998</v>
      </c>
      <c r="C3">
        <v>0</v>
      </c>
      <c r="E3">
        <v>6.2619998999999996E-2</v>
      </c>
      <c r="F3">
        <v>0.5</v>
      </c>
      <c r="G3">
        <v>0</v>
      </c>
      <c r="H3">
        <f t="shared" si="0"/>
        <v>0</v>
      </c>
      <c r="I3">
        <f t="shared" si="0"/>
        <v>-2.4989992000000016E-2</v>
      </c>
    </row>
    <row r="4" spans="1:9" x14ac:dyDescent="0.3">
      <c r="A4">
        <v>9.3869998999999996E-2</v>
      </c>
      <c r="B4">
        <v>1.8500000000000001E-3</v>
      </c>
      <c r="C4">
        <v>0</v>
      </c>
      <c r="E4">
        <v>9.3869998999999996E-2</v>
      </c>
      <c r="F4">
        <v>0</v>
      </c>
      <c r="G4">
        <v>0</v>
      </c>
      <c r="H4">
        <f t="shared" si="0"/>
        <v>0</v>
      </c>
      <c r="I4">
        <f t="shared" si="0"/>
        <v>1.8500000000000001E-3</v>
      </c>
    </row>
    <row r="5" spans="1:9" x14ac:dyDescent="0.3">
      <c r="A5">
        <v>0.12511999900000001</v>
      </c>
      <c r="B5">
        <v>0.52863001799999998</v>
      </c>
      <c r="C5">
        <v>0</v>
      </c>
      <c r="E5">
        <v>0.12511999900000001</v>
      </c>
      <c r="F5">
        <v>0.5</v>
      </c>
      <c r="G5">
        <v>0</v>
      </c>
      <c r="H5">
        <f t="shared" si="0"/>
        <v>0</v>
      </c>
      <c r="I5">
        <f t="shared" si="0"/>
        <v>2.8630017999999979E-2</v>
      </c>
    </row>
    <row r="6" spans="1:9" x14ac:dyDescent="0.3">
      <c r="A6">
        <v>0.15636999900000001</v>
      </c>
      <c r="B6">
        <v>5.4299999000000002E-2</v>
      </c>
      <c r="C6">
        <v>0</v>
      </c>
      <c r="E6">
        <v>0.15636999900000001</v>
      </c>
      <c r="F6">
        <v>0</v>
      </c>
      <c r="G6">
        <v>0</v>
      </c>
      <c r="H6">
        <f t="shared" si="0"/>
        <v>0</v>
      </c>
      <c r="I6">
        <f t="shared" si="0"/>
        <v>5.4299999000000002E-2</v>
      </c>
    </row>
    <row r="7" spans="1:9" x14ac:dyDescent="0.3">
      <c r="A7">
        <v>0.18761999900000001</v>
      </c>
      <c r="B7">
        <v>0.57788997900000005</v>
      </c>
      <c r="C7">
        <v>0</v>
      </c>
      <c r="E7">
        <v>0.18761999900000001</v>
      </c>
      <c r="F7">
        <v>0.5</v>
      </c>
      <c r="G7">
        <v>0</v>
      </c>
      <c r="H7">
        <f t="shared" si="0"/>
        <v>0</v>
      </c>
      <c r="I7">
        <f t="shared" si="0"/>
        <v>7.7889979000000054E-2</v>
      </c>
    </row>
    <row r="8" spans="1:9" x14ac:dyDescent="0.3">
      <c r="A8">
        <v>0.21886999900000001</v>
      </c>
      <c r="B8">
        <v>9.8489999999999994E-2</v>
      </c>
      <c r="C8">
        <v>0</v>
      </c>
      <c r="E8">
        <v>0.21886999900000001</v>
      </c>
      <c r="F8">
        <v>0</v>
      </c>
      <c r="G8">
        <v>0</v>
      </c>
      <c r="H8">
        <f t="shared" si="0"/>
        <v>0</v>
      </c>
      <c r="I8">
        <f t="shared" si="0"/>
        <v>9.8489999999999994E-2</v>
      </c>
    </row>
    <row r="9" spans="1:9" x14ac:dyDescent="0.3">
      <c r="A9">
        <v>0.250120014</v>
      </c>
      <c r="B9">
        <v>0.61529999999999996</v>
      </c>
      <c r="C9">
        <v>0</v>
      </c>
      <c r="E9">
        <v>0.250120014</v>
      </c>
      <c r="F9">
        <v>0.5</v>
      </c>
      <c r="G9">
        <v>0</v>
      </c>
      <c r="H9">
        <f t="shared" si="0"/>
        <v>0</v>
      </c>
      <c r="I9">
        <f t="shared" si="0"/>
        <v>0.11529999999999996</v>
      </c>
    </row>
    <row r="10" spans="1:9" x14ac:dyDescent="0.3">
      <c r="A10">
        <v>0.281370014</v>
      </c>
      <c r="B10">
        <v>0.12768000400000001</v>
      </c>
      <c r="C10">
        <v>0</v>
      </c>
      <c r="E10">
        <v>0.281370014</v>
      </c>
      <c r="F10">
        <v>0</v>
      </c>
      <c r="G10">
        <v>0</v>
      </c>
      <c r="H10">
        <f t="shared" si="0"/>
        <v>0</v>
      </c>
      <c r="I10">
        <f t="shared" si="0"/>
        <v>0.12768000400000001</v>
      </c>
    </row>
    <row r="11" spans="1:9" x14ac:dyDescent="0.3">
      <c r="A11">
        <v>0.312620014</v>
      </c>
      <c r="B11">
        <v>0.63515001500000001</v>
      </c>
      <c r="C11">
        <v>0</v>
      </c>
      <c r="E11">
        <v>0.312620014</v>
      </c>
      <c r="F11">
        <v>0.5</v>
      </c>
      <c r="G11">
        <v>0</v>
      </c>
      <c r="H11">
        <f t="shared" si="0"/>
        <v>0</v>
      </c>
      <c r="I11">
        <f t="shared" si="0"/>
        <v>0.13515001500000001</v>
      </c>
    </row>
    <row r="12" spans="1:9" x14ac:dyDescent="0.3">
      <c r="A12">
        <v>0.343870014</v>
      </c>
      <c r="B12">
        <v>0.137429997</v>
      </c>
      <c r="C12">
        <v>0</v>
      </c>
      <c r="E12">
        <v>0.343870014</v>
      </c>
      <c r="F12">
        <v>0</v>
      </c>
      <c r="G12">
        <v>0</v>
      </c>
      <c r="H12">
        <f t="shared" si="0"/>
        <v>0</v>
      </c>
      <c r="I12">
        <f t="shared" si="0"/>
        <v>0.137429997</v>
      </c>
    </row>
    <row r="13" spans="1:9" x14ac:dyDescent="0.3">
      <c r="A13">
        <v>0.375120014</v>
      </c>
      <c r="B13">
        <v>0.63442999099999997</v>
      </c>
      <c r="C13">
        <v>0</v>
      </c>
      <c r="E13">
        <v>0.375120014</v>
      </c>
      <c r="F13">
        <v>0.5</v>
      </c>
      <c r="G13">
        <v>0</v>
      </c>
      <c r="H13">
        <f t="shared" si="0"/>
        <v>0</v>
      </c>
      <c r="I13">
        <f t="shared" si="0"/>
        <v>0.13442999099999997</v>
      </c>
    </row>
    <row r="14" spans="1:9" x14ac:dyDescent="0.3">
      <c r="A14">
        <v>0.406370014</v>
      </c>
      <c r="B14">
        <v>0.12625999700000001</v>
      </c>
      <c r="C14">
        <v>0</v>
      </c>
      <c r="E14">
        <v>0.406370014</v>
      </c>
      <c r="F14">
        <v>0</v>
      </c>
      <c r="G14">
        <v>0</v>
      </c>
      <c r="H14">
        <f t="shared" si="0"/>
        <v>0</v>
      </c>
      <c r="I14">
        <f t="shared" si="0"/>
        <v>0.12625999700000001</v>
      </c>
    </row>
    <row r="15" spans="1:9" x14ac:dyDescent="0.3">
      <c r="A15">
        <v>0.437620014</v>
      </c>
      <c r="B15">
        <v>0.61324000400000001</v>
      </c>
      <c r="C15">
        <v>0</v>
      </c>
      <c r="E15">
        <v>0.437620014</v>
      </c>
      <c r="F15">
        <v>0.5</v>
      </c>
      <c r="G15">
        <v>0</v>
      </c>
      <c r="H15">
        <f t="shared" si="0"/>
        <v>0</v>
      </c>
      <c r="I15">
        <f t="shared" si="0"/>
        <v>0.11324000400000001</v>
      </c>
    </row>
    <row r="16" spans="1:9" x14ac:dyDescent="0.3">
      <c r="A16">
        <v>0.468870014</v>
      </c>
      <c r="B16">
        <v>9.5870002999999995E-2</v>
      </c>
      <c r="C16">
        <v>0</v>
      </c>
      <c r="E16">
        <v>0.468870014</v>
      </c>
      <c r="F16">
        <v>0</v>
      </c>
      <c r="G16">
        <v>0</v>
      </c>
      <c r="H16">
        <f t="shared" si="0"/>
        <v>0</v>
      </c>
      <c r="I16">
        <f t="shared" si="0"/>
        <v>9.5870002999999995E-2</v>
      </c>
    </row>
    <row r="17" spans="1:9" x14ac:dyDescent="0.3">
      <c r="A17">
        <v>0.50011998400000002</v>
      </c>
      <c r="B17">
        <v>0.57481002800000003</v>
      </c>
      <c r="C17">
        <v>0</v>
      </c>
      <c r="E17">
        <v>0.50011998400000002</v>
      </c>
      <c r="F17">
        <v>0.5</v>
      </c>
      <c r="G17">
        <v>0</v>
      </c>
      <c r="H17">
        <f t="shared" si="0"/>
        <v>0</v>
      </c>
      <c r="I17">
        <f t="shared" si="0"/>
        <v>7.4810028000000028E-2</v>
      </c>
    </row>
    <row r="18" spans="1:9" x14ac:dyDescent="0.3">
      <c r="A18">
        <v>0.53136998400000002</v>
      </c>
      <c r="B18">
        <v>5.0880000000000002E-2</v>
      </c>
      <c r="C18">
        <v>0</v>
      </c>
      <c r="E18">
        <v>0.53136998400000002</v>
      </c>
      <c r="F18">
        <v>0</v>
      </c>
      <c r="G18">
        <v>0</v>
      </c>
      <c r="H18">
        <f t="shared" si="0"/>
        <v>0</v>
      </c>
      <c r="I18">
        <f t="shared" si="0"/>
        <v>5.0880000000000002E-2</v>
      </c>
    </row>
    <row r="19" spans="1:9" x14ac:dyDescent="0.3">
      <c r="A19">
        <v>0.56261998400000002</v>
      </c>
      <c r="B19">
        <v>0.524989963</v>
      </c>
      <c r="C19">
        <v>0</v>
      </c>
      <c r="E19">
        <v>0.56261998400000002</v>
      </c>
      <c r="F19">
        <v>0.5</v>
      </c>
      <c r="G19">
        <v>0</v>
      </c>
      <c r="H19">
        <f t="shared" si="0"/>
        <v>0</v>
      </c>
      <c r="I19">
        <f t="shared" si="0"/>
        <v>2.4989963000000004E-2</v>
      </c>
    </row>
    <row r="20" spans="1:9" x14ac:dyDescent="0.3">
      <c r="A20">
        <v>0.59386998400000002</v>
      </c>
      <c r="B20">
        <v>0.99814999100000001</v>
      </c>
      <c r="C20">
        <v>0</v>
      </c>
      <c r="E20">
        <v>0.59386998400000002</v>
      </c>
      <c r="F20">
        <v>0</v>
      </c>
      <c r="G20">
        <v>0</v>
      </c>
      <c r="H20">
        <f t="shared" si="0"/>
        <v>0</v>
      </c>
      <c r="I20">
        <f>B20-F20-1</f>
        <v>-1.8500089999999858E-3</v>
      </c>
    </row>
    <row r="21" spans="1:9" x14ac:dyDescent="0.3">
      <c r="A21">
        <v>0.62511998400000002</v>
      </c>
      <c r="B21">
        <v>0.47136998200000002</v>
      </c>
      <c r="C21">
        <v>0</v>
      </c>
      <c r="E21">
        <v>0.62511998400000002</v>
      </c>
      <c r="F21">
        <v>0.5</v>
      </c>
      <c r="G21">
        <v>0</v>
      </c>
      <c r="H21">
        <f t="shared" si="0"/>
        <v>0</v>
      </c>
      <c r="I21">
        <f t="shared" si="0"/>
        <v>-2.8630017999999979E-2</v>
      </c>
    </row>
    <row r="22" spans="1:9" x14ac:dyDescent="0.3">
      <c r="A22">
        <v>0.65636998400000002</v>
      </c>
      <c r="B22">
        <v>0.94569999000000005</v>
      </c>
      <c r="C22">
        <v>0</v>
      </c>
      <c r="E22">
        <v>0.65636998400000002</v>
      </c>
      <c r="F22">
        <v>0</v>
      </c>
      <c r="G22">
        <v>0</v>
      </c>
      <c r="H22">
        <f t="shared" si="0"/>
        <v>0</v>
      </c>
      <c r="I22">
        <f>B22-F22-1</f>
        <v>-5.4300009999999954E-2</v>
      </c>
    </row>
    <row r="23" spans="1:9" x14ac:dyDescent="0.3">
      <c r="A23">
        <v>0.68761998400000002</v>
      </c>
      <c r="B23">
        <v>0.422110021</v>
      </c>
      <c r="C23">
        <v>0</v>
      </c>
      <c r="E23">
        <v>0.68761998400000002</v>
      </c>
      <c r="F23">
        <v>0.5</v>
      </c>
      <c r="G23">
        <v>0</v>
      </c>
      <c r="H23">
        <f t="shared" si="0"/>
        <v>0</v>
      </c>
      <c r="I23">
        <f t="shared" si="0"/>
        <v>-7.7889978999999998E-2</v>
      </c>
    </row>
    <row r="24" spans="1:9" x14ac:dyDescent="0.3">
      <c r="A24">
        <v>0.71886998400000002</v>
      </c>
      <c r="B24">
        <v>0.90151000000000003</v>
      </c>
      <c r="C24">
        <v>0</v>
      </c>
      <c r="E24">
        <v>0.71886998400000002</v>
      </c>
      <c r="F24">
        <v>0</v>
      </c>
      <c r="G24">
        <v>0</v>
      </c>
      <c r="H24">
        <f t="shared" si="0"/>
        <v>0</v>
      </c>
      <c r="I24">
        <f>B24-F24-1</f>
        <v>-9.8489999999999966E-2</v>
      </c>
    </row>
    <row r="25" spans="1:9" x14ac:dyDescent="0.3">
      <c r="A25">
        <v>0.75012004399999999</v>
      </c>
      <c r="B25">
        <v>0.38469999999999999</v>
      </c>
      <c r="C25">
        <v>0</v>
      </c>
      <c r="E25">
        <v>0.75012004399999999</v>
      </c>
      <c r="F25">
        <v>0.5</v>
      </c>
      <c r="G25">
        <v>0</v>
      </c>
      <c r="H25">
        <f t="shared" si="0"/>
        <v>0</v>
      </c>
      <c r="I25">
        <f t="shared" si="0"/>
        <v>-0.11530000000000001</v>
      </c>
    </row>
    <row r="26" spans="1:9" x14ac:dyDescent="0.3">
      <c r="A26">
        <v>0.78137004399999999</v>
      </c>
      <c r="B26">
        <v>0.87231999599999999</v>
      </c>
      <c r="C26">
        <v>0</v>
      </c>
      <c r="E26">
        <v>0.78137004399999999</v>
      </c>
      <c r="F26">
        <v>0</v>
      </c>
      <c r="G26">
        <v>0</v>
      </c>
      <c r="H26">
        <f t="shared" si="0"/>
        <v>0</v>
      </c>
      <c r="I26">
        <f>B26-F26-1</f>
        <v>-0.12768000400000001</v>
      </c>
    </row>
    <row r="27" spans="1:9" x14ac:dyDescent="0.3">
      <c r="A27">
        <v>0.81262004399999999</v>
      </c>
      <c r="B27">
        <v>0.36484998499999999</v>
      </c>
      <c r="C27">
        <v>0</v>
      </c>
      <c r="E27">
        <v>0.81262004399999999</v>
      </c>
      <c r="F27">
        <v>0.5</v>
      </c>
      <c r="G27">
        <v>0</v>
      </c>
      <c r="H27">
        <f t="shared" si="0"/>
        <v>0</v>
      </c>
      <c r="I27">
        <f t="shared" si="0"/>
        <v>-0.13515001500000001</v>
      </c>
    </row>
    <row r="28" spans="1:9" x14ac:dyDescent="0.3">
      <c r="A28">
        <v>0.84387004399999999</v>
      </c>
      <c r="B28">
        <v>0.86256998799999995</v>
      </c>
      <c r="C28">
        <v>0</v>
      </c>
      <c r="E28">
        <v>0.84387004399999999</v>
      </c>
      <c r="F28">
        <v>0</v>
      </c>
      <c r="G28">
        <v>0</v>
      </c>
      <c r="H28">
        <f t="shared" si="0"/>
        <v>0</v>
      </c>
      <c r="I28">
        <f>B28-F28-1</f>
        <v>-0.13743001200000005</v>
      </c>
    </row>
    <row r="29" spans="1:9" x14ac:dyDescent="0.3">
      <c r="A29">
        <v>0.87512004399999999</v>
      </c>
      <c r="B29">
        <v>0.36557000899999997</v>
      </c>
      <c r="C29">
        <v>0</v>
      </c>
      <c r="E29">
        <v>0.87512004399999999</v>
      </c>
      <c r="F29">
        <v>0.5</v>
      </c>
      <c r="G29">
        <v>0</v>
      </c>
      <c r="H29">
        <f t="shared" si="0"/>
        <v>0</v>
      </c>
      <c r="I29">
        <f t="shared" si="0"/>
        <v>-0.13442999100000003</v>
      </c>
    </row>
    <row r="30" spans="1:9" x14ac:dyDescent="0.3">
      <c r="A30">
        <v>0.90637004399999999</v>
      </c>
      <c r="B30">
        <v>0.87374001700000004</v>
      </c>
      <c r="C30">
        <v>0</v>
      </c>
      <c r="E30">
        <v>0.90637004399999999</v>
      </c>
      <c r="F30">
        <v>0</v>
      </c>
      <c r="G30">
        <v>0</v>
      </c>
      <c r="H30">
        <f t="shared" si="0"/>
        <v>0</v>
      </c>
      <c r="I30">
        <f>B30-F30-1</f>
        <v>-0.12625998299999996</v>
      </c>
    </row>
    <row r="31" spans="1:9" x14ac:dyDescent="0.3">
      <c r="A31">
        <v>0.93762004399999999</v>
      </c>
      <c r="B31">
        <v>0.38675999599999999</v>
      </c>
      <c r="C31">
        <v>0</v>
      </c>
      <c r="E31">
        <v>0.93762004399999999</v>
      </c>
      <c r="F31">
        <v>0.5</v>
      </c>
      <c r="G31">
        <v>0</v>
      </c>
      <c r="H31">
        <f t="shared" si="0"/>
        <v>0</v>
      </c>
      <c r="I31">
        <f t="shared" si="0"/>
        <v>-0.11324000400000001</v>
      </c>
    </row>
    <row r="32" spans="1:9" x14ac:dyDescent="0.3">
      <c r="A32">
        <v>0.96887004399999999</v>
      </c>
      <c r="B32">
        <v>0.90412998200000005</v>
      </c>
      <c r="C32">
        <v>0</v>
      </c>
      <c r="E32">
        <v>0.96887004399999999</v>
      </c>
      <c r="F32">
        <v>0</v>
      </c>
      <c r="G32">
        <v>0</v>
      </c>
      <c r="H32">
        <f t="shared" si="0"/>
        <v>0</v>
      </c>
      <c r="I32">
        <f>B32-F32-1</f>
        <v>-9.5870017999999946E-2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8E72A-7281-408D-9521-2EF047C3F6E5}">
  <dimension ref="A1:L33"/>
  <sheetViews>
    <sheetView tabSelected="1" topLeftCell="A4" zoomScale="70" zoomScaleNormal="70" workbookViewId="0">
      <selection activeCell="L2" sqref="L2:L33"/>
    </sheetView>
  </sheetViews>
  <sheetFormatPr defaultRowHeight="14" x14ac:dyDescent="0.3"/>
  <sheetData>
    <row r="1" spans="1:12" x14ac:dyDescent="0.3">
      <c r="B1" t="s">
        <v>0</v>
      </c>
      <c r="C1" t="s">
        <v>1</v>
      </c>
      <c r="D1" t="s">
        <v>2</v>
      </c>
      <c r="E1" t="s">
        <v>3</v>
      </c>
    </row>
    <row r="2" spans="1:12" x14ac:dyDescent="0.3">
      <c r="A2">
        <v>1</v>
      </c>
      <c r="B2">
        <v>-0.12216001700000001</v>
      </c>
      <c r="C2">
        <v>-0.10580000299999998</v>
      </c>
      <c r="D2">
        <v>-6.4509987999999976E-2</v>
      </c>
      <c r="E2">
        <v>-7.4809997999999989E-2</v>
      </c>
      <c r="F2">
        <f>B2+C2+E2</f>
        <v>-0.30277001799999997</v>
      </c>
      <c r="G2">
        <f>F2+D2+D33</f>
        <v>-0.45415001349999995</v>
      </c>
      <c r="H2">
        <v>5.5923399925000004</v>
      </c>
      <c r="I2" s="1">
        <f>G2*H2</f>
        <v>-2.5397612830904648</v>
      </c>
      <c r="J2">
        <f>I2-I33</f>
        <v>0.50526792950705479</v>
      </c>
      <c r="K2">
        <v>2.7952667877190596</v>
      </c>
      <c r="L2">
        <f>J2/K2/5</f>
        <v>3.6151678381966104E-2</v>
      </c>
    </row>
    <row r="3" spans="1:12" x14ac:dyDescent="0.3">
      <c r="A3">
        <v>2</v>
      </c>
      <c r="B3">
        <v>-0.10486999200000002</v>
      </c>
      <c r="C3">
        <v>-8.6420000000000052E-2</v>
      </c>
      <c r="D3">
        <v>-3.9680004000000019E-2</v>
      </c>
      <c r="E3">
        <v>-5.0880014999999945E-2</v>
      </c>
      <c r="F3">
        <f t="shared" ref="F3:F33" si="0">B3+C3+E3</f>
        <v>-0.24217000700000002</v>
      </c>
      <c r="G3">
        <f>F3+D2+D3</f>
        <v>-0.34635999900000003</v>
      </c>
      <c r="H3">
        <v>5.5923399925000004</v>
      </c>
      <c r="I3">
        <f t="shared" ref="I3:I33" si="1">G3*H3</f>
        <v>-1.9369628742099603</v>
      </c>
      <c r="J3">
        <f>I3-I2</f>
        <v>0.60279840888050451</v>
      </c>
      <c r="K3">
        <v>2.7952667877190596</v>
      </c>
      <c r="L3">
        <f t="shared" ref="L3:L33" si="2">J3/K3/5</f>
        <v>4.3129937473509537E-2</v>
      </c>
    </row>
    <row r="4" spans="1:12" x14ac:dyDescent="0.3">
      <c r="A4">
        <v>3</v>
      </c>
      <c r="B4">
        <v>-8.3540021999999992E-2</v>
      </c>
      <c r="C4">
        <v>-6.3710003999999987E-2</v>
      </c>
      <c r="D4">
        <v>-1.3320028999999983E-2</v>
      </c>
      <c r="E4">
        <v>-2.4989992000000016E-2</v>
      </c>
      <c r="F4">
        <f t="shared" si="0"/>
        <v>-0.17224001799999999</v>
      </c>
      <c r="G4">
        <f t="shared" ref="G4:G33" si="3">F4+D3+D4</f>
        <v>-0.225240051</v>
      </c>
      <c r="H4">
        <v>5.5923399925000004</v>
      </c>
      <c r="I4" s="1">
        <f t="shared" si="1"/>
        <v>-1.2596189451200397</v>
      </c>
      <c r="J4">
        <f t="shared" ref="J4:J33" si="4">I4-I3</f>
        <v>0.67734392908992058</v>
      </c>
      <c r="K4">
        <v>2.7952667877190596</v>
      </c>
      <c r="L4">
        <f t="shared" si="2"/>
        <v>4.8463633744429371E-2</v>
      </c>
    </row>
    <row r="5" spans="1:12" x14ac:dyDescent="0.3">
      <c r="A5">
        <v>4</v>
      </c>
      <c r="B5">
        <v>-5.900999899999998E-2</v>
      </c>
      <c r="C5">
        <v>-3.8559973000000025E-2</v>
      </c>
      <c r="D5">
        <v>1.3549998499999993E-2</v>
      </c>
      <c r="E5">
        <v>1.8500000000000001E-3</v>
      </c>
      <c r="F5">
        <f t="shared" si="0"/>
        <v>-9.5719972E-2</v>
      </c>
      <c r="G5">
        <f t="shared" si="3"/>
        <v>-9.549000249999999E-2</v>
      </c>
      <c r="H5">
        <v>5.5923399925000004</v>
      </c>
      <c r="I5">
        <f t="shared" si="1"/>
        <v>-0.534012559864675</v>
      </c>
      <c r="J5">
        <f t="shared" si="4"/>
        <v>0.72560638525536469</v>
      </c>
      <c r="K5">
        <v>2.7952667877190596</v>
      </c>
      <c r="L5">
        <f t="shared" si="2"/>
        <v>5.1916789370037929E-2</v>
      </c>
    </row>
    <row r="6" spans="1:12" x14ac:dyDescent="0.3">
      <c r="A6">
        <v>5</v>
      </c>
      <c r="B6">
        <v>-3.2209991999999965E-2</v>
      </c>
      <c r="C6">
        <v>-1.1920005000000011E-2</v>
      </c>
      <c r="D6">
        <v>3.9900005000000016E-2</v>
      </c>
      <c r="E6">
        <v>2.8630017999999979E-2</v>
      </c>
      <c r="F6">
        <f t="shared" si="0"/>
        <v>-1.5499978999999997E-2</v>
      </c>
      <c r="G6">
        <f t="shared" si="3"/>
        <v>3.7950024500000012E-2</v>
      </c>
      <c r="H6">
        <v>5.5923399925000004</v>
      </c>
      <c r="I6" s="1">
        <f t="shared" si="1"/>
        <v>0.21222943972770489</v>
      </c>
      <c r="J6">
        <f t="shared" si="4"/>
        <v>0.74624199959237991</v>
      </c>
      <c r="K6">
        <v>2.7952667877190596</v>
      </c>
      <c r="L6">
        <f t="shared" si="2"/>
        <v>5.3393257693396354E-2</v>
      </c>
    </row>
    <row r="7" spans="1:12" x14ac:dyDescent="0.3">
      <c r="A7">
        <v>6</v>
      </c>
      <c r="B7">
        <v>-4.1700009999999788E-3</v>
      </c>
      <c r="C7">
        <v>1.5169999999999999E-2</v>
      </c>
      <c r="D7">
        <v>6.4720020000000017E-2</v>
      </c>
      <c r="E7">
        <v>5.4299999000000002E-2</v>
      </c>
      <c r="F7">
        <f t="shared" si="0"/>
        <v>6.5299998000000026E-2</v>
      </c>
      <c r="G7">
        <f t="shared" si="3"/>
        <v>0.16992002300000006</v>
      </c>
      <c r="H7">
        <v>5.5923399925000004</v>
      </c>
      <c r="I7">
        <f t="shared" si="1"/>
        <v>0.95025054014942023</v>
      </c>
      <c r="J7">
        <f t="shared" si="4"/>
        <v>0.73802110042171531</v>
      </c>
      <c r="K7">
        <v>2.7952667877190596</v>
      </c>
      <c r="L7">
        <f t="shared" si="2"/>
        <v>5.2805056294747542E-2</v>
      </c>
    </row>
    <row r="8" spans="1:12" x14ac:dyDescent="0.3">
      <c r="A8">
        <v>7</v>
      </c>
      <c r="B8">
        <v>2.4029999999999999E-2</v>
      </c>
      <c r="C8">
        <v>4.1679978000000006E-2</v>
      </c>
      <c r="D8">
        <v>8.7050021000000005E-2</v>
      </c>
      <c r="E8">
        <v>7.7889979000000054E-2</v>
      </c>
      <c r="F8">
        <f t="shared" si="0"/>
        <v>0.14359995700000006</v>
      </c>
      <c r="G8">
        <f t="shared" si="3"/>
        <v>0.29536999800000008</v>
      </c>
      <c r="H8">
        <v>5.5923399925000004</v>
      </c>
      <c r="I8" s="1">
        <f t="shared" si="1"/>
        <v>1.6518094524000455</v>
      </c>
      <c r="J8">
        <f t="shared" si="4"/>
        <v>0.70155891225062528</v>
      </c>
      <c r="K8">
        <v>2.7952667877190596</v>
      </c>
      <c r="L8">
        <f t="shared" si="2"/>
        <v>5.0196204192952766E-2</v>
      </c>
    </row>
    <row r="9" spans="1:12" x14ac:dyDescent="0.3">
      <c r="A9">
        <v>8</v>
      </c>
      <c r="B9">
        <v>5.1310002999999993E-2</v>
      </c>
      <c r="C9">
        <v>6.6590003999999994E-2</v>
      </c>
      <c r="D9">
        <v>0.10602998699999999</v>
      </c>
      <c r="E9">
        <v>9.8489999999999994E-2</v>
      </c>
      <c r="F9">
        <f t="shared" si="0"/>
        <v>0.216390007</v>
      </c>
      <c r="G9">
        <f t="shared" si="3"/>
        <v>0.40947001500000002</v>
      </c>
      <c r="H9">
        <v>5.5923399925000004</v>
      </c>
      <c r="I9">
        <f t="shared" si="1"/>
        <v>2.2898955406140753</v>
      </c>
      <c r="J9">
        <f t="shared" si="4"/>
        <v>0.63808608821402979</v>
      </c>
      <c r="K9">
        <v>2.7952667877190596</v>
      </c>
      <c r="L9">
        <f t="shared" si="2"/>
        <v>4.5654754030452216E-2</v>
      </c>
    </row>
    <row r="10" spans="1:12" x14ac:dyDescent="0.3">
      <c r="A10">
        <v>9</v>
      </c>
      <c r="B10">
        <v>7.6609998999999998E-2</v>
      </c>
      <c r="C10">
        <v>8.8940024000000006E-2</v>
      </c>
      <c r="D10">
        <v>0.12094002999999998</v>
      </c>
      <c r="E10">
        <v>0.11529999999999996</v>
      </c>
      <c r="F10">
        <f t="shared" si="0"/>
        <v>0.28085002299999995</v>
      </c>
      <c r="G10">
        <f t="shared" si="3"/>
        <v>0.50782003999999992</v>
      </c>
      <c r="H10">
        <v>5.5923399925000004</v>
      </c>
      <c r="I10" s="1">
        <f t="shared" si="1"/>
        <v>2.8399023186849495</v>
      </c>
      <c r="J10">
        <f t="shared" si="4"/>
        <v>0.55000677807087417</v>
      </c>
      <c r="K10">
        <v>2.7952667877190596</v>
      </c>
      <c r="L10">
        <f t="shared" si="2"/>
        <v>3.9352721571144215E-2</v>
      </c>
    </row>
    <row r="11" spans="1:12" x14ac:dyDescent="0.3">
      <c r="A11">
        <v>10</v>
      </c>
      <c r="B11">
        <v>9.8969996000000005E-2</v>
      </c>
      <c r="C11">
        <v>0.10786999799999999</v>
      </c>
      <c r="D11">
        <v>0.13120000099999998</v>
      </c>
      <c r="E11">
        <v>0.12768000400000001</v>
      </c>
      <c r="F11">
        <f t="shared" si="0"/>
        <v>0.33451999799999999</v>
      </c>
      <c r="G11">
        <f t="shared" si="3"/>
        <v>0.58666002899999992</v>
      </c>
      <c r="H11">
        <v>5.5923399925000004</v>
      </c>
      <c r="I11">
        <f t="shared" si="1"/>
        <v>3.2808023421779096</v>
      </c>
      <c r="J11">
        <f t="shared" si="4"/>
        <v>0.44090002349296009</v>
      </c>
      <c r="K11">
        <v>2.7952667877190596</v>
      </c>
      <c r="L11">
        <f t="shared" si="2"/>
        <v>3.1546185532632817E-2</v>
      </c>
    </row>
    <row r="12" spans="1:12" x14ac:dyDescent="0.3">
      <c r="A12">
        <v>11</v>
      </c>
      <c r="B12">
        <v>0.11753000299999999</v>
      </c>
      <c r="C12">
        <v>0.12265998099999997</v>
      </c>
      <c r="D12">
        <v>0.13642001199999998</v>
      </c>
      <c r="E12">
        <v>0.13515001500000001</v>
      </c>
      <c r="F12">
        <f t="shared" si="0"/>
        <v>0.37533999899999998</v>
      </c>
      <c r="G12">
        <f t="shared" si="3"/>
        <v>0.64296001199999997</v>
      </c>
      <c r="H12">
        <v>5.5923399925000004</v>
      </c>
      <c r="I12" s="1">
        <f t="shared" si="1"/>
        <v>3.5956509886858798</v>
      </c>
      <c r="J12">
        <f t="shared" si="4"/>
        <v>0.31484864650797029</v>
      </c>
      <c r="K12">
        <v>2.7952667877190596</v>
      </c>
      <c r="L12">
        <f t="shared" si="2"/>
        <v>2.2527269875723531E-2</v>
      </c>
    </row>
    <row r="13" spans="1:12" x14ac:dyDescent="0.3">
      <c r="A13">
        <v>12</v>
      </c>
      <c r="B13">
        <v>0.13156998200000003</v>
      </c>
      <c r="C13">
        <v>0.13273000700000001</v>
      </c>
      <c r="D13">
        <v>0.13639999899999999</v>
      </c>
      <c r="E13">
        <v>0.137429997</v>
      </c>
      <c r="F13">
        <f t="shared" si="0"/>
        <v>0.40172998600000009</v>
      </c>
      <c r="G13">
        <f t="shared" si="3"/>
        <v>0.67454999700000007</v>
      </c>
      <c r="H13">
        <v>5.5923399925000004</v>
      </c>
      <c r="I13">
        <f t="shared" si="1"/>
        <v>3.7723129251638556</v>
      </c>
      <c r="J13">
        <f t="shared" si="4"/>
        <v>0.17666193647797579</v>
      </c>
      <c r="K13">
        <v>2.7952667877190596</v>
      </c>
      <c r="L13">
        <f t="shared" si="2"/>
        <v>1.2640076951090031E-2</v>
      </c>
    </row>
    <row r="14" spans="1:12" x14ac:dyDescent="0.3">
      <c r="A14">
        <v>13</v>
      </c>
      <c r="B14">
        <v>0.14055000200000001</v>
      </c>
      <c r="C14">
        <v>0.13770997500000004</v>
      </c>
      <c r="D14">
        <v>0.13113999399999998</v>
      </c>
      <c r="E14">
        <v>0.13442999099999997</v>
      </c>
      <c r="F14">
        <f t="shared" si="0"/>
        <v>0.41268996800000002</v>
      </c>
      <c r="G14">
        <f t="shared" si="3"/>
        <v>0.68022996099999999</v>
      </c>
      <c r="H14">
        <v>5.5923399925000004</v>
      </c>
      <c r="I14" s="1">
        <f t="shared" si="1"/>
        <v>3.8040772149970157</v>
      </c>
      <c r="J14">
        <f t="shared" si="4"/>
        <v>3.1764289833160042E-2</v>
      </c>
      <c r="K14">
        <v>2.7952667877190596</v>
      </c>
      <c r="L14">
        <f t="shared" si="2"/>
        <v>2.2727197255529041E-3</v>
      </c>
    </row>
    <row r="15" spans="1:12" x14ac:dyDescent="0.3">
      <c r="A15">
        <v>14</v>
      </c>
      <c r="B15">
        <v>0.14412999199999998</v>
      </c>
      <c r="C15">
        <v>0.13739000300000001</v>
      </c>
      <c r="D15">
        <v>0.12082999900000002</v>
      </c>
      <c r="E15">
        <v>0.12625999700000001</v>
      </c>
      <c r="F15">
        <f t="shared" si="0"/>
        <v>0.40777999200000004</v>
      </c>
      <c r="G15">
        <f t="shared" si="3"/>
        <v>0.65974998500000004</v>
      </c>
      <c r="H15">
        <v>5.5923399925000004</v>
      </c>
      <c r="I15">
        <f t="shared" si="1"/>
        <v>3.6895462261667755</v>
      </c>
      <c r="J15">
        <f t="shared" si="4"/>
        <v>-0.11453098883024015</v>
      </c>
      <c r="K15">
        <v>2.7952667877190596</v>
      </c>
      <c r="L15">
        <f t="shared" si="2"/>
        <v>-8.1946374015839513E-3</v>
      </c>
    </row>
    <row r="16" spans="1:12" x14ac:dyDescent="0.3">
      <c r="A16">
        <v>15</v>
      </c>
      <c r="B16">
        <v>0.142179996</v>
      </c>
      <c r="C16">
        <v>0.13178998200000003</v>
      </c>
      <c r="D16">
        <v>0.10588002200000002</v>
      </c>
      <c r="E16">
        <v>0.11324000400000001</v>
      </c>
      <c r="F16">
        <f t="shared" si="0"/>
        <v>0.38720998200000001</v>
      </c>
      <c r="G16">
        <f t="shared" si="3"/>
        <v>0.61392000300000005</v>
      </c>
      <c r="H16">
        <v>5.5923399925000004</v>
      </c>
      <c r="I16" s="1">
        <f t="shared" si="1"/>
        <v>3.4332493849726204</v>
      </c>
      <c r="J16">
        <f t="shared" si="4"/>
        <v>-0.25629684119415508</v>
      </c>
      <c r="K16">
        <v>2.7952667877190596</v>
      </c>
      <c r="L16">
        <f t="shared" si="2"/>
        <v>-1.8337916246147907E-2</v>
      </c>
    </row>
    <row r="17" spans="1:12" x14ac:dyDescent="0.3">
      <c r="A17">
        <v>16</v>
      </c>
      <c r="B17">
        <v>0.13476002200000003</v>
      </c>
      <c r="C17">
        <v>0.12111999800000001</v>
      </c>
      <c r="D17">
        <v>8.6870015000000023E-2</v>
      </c>
      <c r="E17">
        <v>9.5870002999999995E-2</v>
      </c>
      <c r="F17">
        <f t="shared" si="0"/>
        <v>0.35175002300000002</v>
      </c>
      <c r="G17">
        <f t="shared" si="3"/>
        <v>0.54450006000000006</v>
      </c>
      <c r="H17">
        <v>5.5923399925000004</v>
      </c>
      <c r="I17">
        <f t="shared" si="1"/>
        <v>3.0450294614566502</v>
      </c>
      <c r="J17">
        <f t="shared" si="4"/>
        <v>-0.38821992351597023</v>
      </c>
      <c r="K17">
        <v>2.7952667877190596</v>
      </c>
      <c r="L17">
        <f t="shared" si="2"/>
        <v>-2.7776949607930489E-2</v>
      </c>
    </row>
    <row r="18" spans="1:12" x14ac:dyDescent="0.3">
      <c r="A18">
        <v>17</v>
      </c>
      <c r="B18">
        <v>0.122160017</v>
      </c>
      <c r="C18">
        <v>0.10580003299999996</v>
      </c>
      <c r="D18">
        <v>6.450998799999999E-2</v>
      </c>
      <c r="E18">
        <v>7.4810028000000028E-2</v>
      </c>
      <c r="F18">
        <f t="shared" si="0"/>
        <v>0.302770078</v>
      </c>
      <c r="G18">
        <f t="shared" si="3"/>
        <v>0.45415008099999998</v>
      </c>
      <c r="H18">
        <v>5.5923399925000004</v>
      </c>
      <c r="I18" s="1">
        <f t="shared" si="1"/>
        <v>2.5397616605734146</v>
      </c>
      <c r="J18">
        <f t="shared" si="4"/>
        <v>-0.50526780088323564</v>
      </c>
      <c r="K18">
        <v>2.7952667877190596</v>
      </c>
      <c r="L18">
        <f t="shared" si="2"/>
        <v>-3.6151669178993442E-2</v>
      </c>
    </row>
    <row r="19" spans="1:12" x14ac:dyDescent="0.3">
      <c r="A19">
        <v>18</v>
      </c>
      <c r="B19">
        <v>0.10486996199999998</v>
      </c>
      <c r="C19">
        <v>8.6419999999999997E-2</v>
      </c>
      <c r="D19">
        <v>3.9680004000000019E-2</v>
      </c>
      <c r="E19">
        <v>5.0880000000000002E-2</v>
      </c>
      <c r="F19">
        <f t="shared" si="0"/>
        <v>0.24216996199999999</v>
      </c>
      <c r="G19">
        <f t="shared" si="3"/>
        <v>0.34635995399999997</v>
      </c>
      <c r="H19">
        <v>5.5923399925000004</v>
      </c>
      <c r="I19">
        <f t="shared" si="1"/>
        <v>1.9369626225546603</v>
      </c>
      <c r="J19">
        <f t="shared" si="4"/>
        <v>-0.60279903801875423</v>
      </c>
      <c r="K19">
        <v>2.7952667877190596</v>
      </c>
      <c r="L19">
        <f t="shared" si="2"/>
        <v>-4.3129982488050014E-2</v>
      </c>
    </row>
    <row r="20" spans="1:12" x14ac:dyDescent="0.3">
      <c r="A20">
        <v>19</v>
      </c>
      <c r="B20">
        <v>8.3540000000000003E-2</v>
      </c>
      <c r="C20">
        <v>6.3709974000000003E-2</v>
      </c>
      <c r="D20">
        <v>1.3320028999999983E-2</v>
      </c>
      <c r="E20">
        <v>2.4989963000000004E-2</v>
      </c>
      <c r="F20">
        <f t="shared" si="0"/>
        <v>0.17223993700000001</v>
      </c>
      <c r="G20">
        <f t="shared" si="3"/>
        <v>0.22523997000000001</v>
      </c>
      <c r="H20">
        <v>5.5923399925000004</v>
      </c>
      <c r="I20" s="1">
        <f t="shared" si="1"/>
        <v>1.2596184921405005</v>
      </c>
      <c r="J20">
        <f t="shared" si="4"/>
        <v>-0.67734413041415986</v>
      </c>
      <c r="K20">
        <v>2.7952667877190596</v>
      </c>
      <c r="L20">
        <f t="shared" si="2"/>
        <v>-4.8463648149082279E-2</v>
      </c>
    </row>
    <row r="21" spans="1:12" x14ac:dyDescent="0.3">
      <c r="A21">
        <v>20</v>
      </c>
      <c r="B21">
        <v>5.9010028999999964E-2</v>
      </c>
      <c r="C21">
        <v>3.8559998999999998E-2</v>
      </c>
      <c r="D21">
        <v>-1.3550020499999982E-2</v>
      </c>
      <c r="E21">
        <v>-1.8500089999999858E-3</v>
      </c>
      <c r="F21">
        <f t="shared" si="0"/>
        <v>9.5720018999999976E-2</v>
      </c>
      <c r="G21">
        <f t="shared" si="3"/>
        <v>9.5490027499999977E-2</v>
      </c>
      <c r="H21">
        <v>5.5923399925000004</v>
      </c>
      <c r="I21">
        <f t="shared" si="1"/>
        <v>0.53401269967317466</v>
      </c>
      <c r="J21">
        <f t="shared" si="4"/>
        <v>-0.72560579246732582</v>
      </c>
      <c r="K21">
        <v>2.7952667877190596</v>
      </c>
      <c r="L21">
        <f t="shared" si="2"/>
        <v>-5.1916746956337634E-2</v>
      </c>
    </row>
    <row r="22" spans="1:12" x14ac:dyDescent="0.3">
      <c r="A22">
        <v>21</v>
      </c>
      <c r="B22">
        <v>3.2210000000000003E-2</v>
      </c>
      <c r="C22">
        <v>1.1919974999999972E-2</v>
      </c>
      <c r="D22">
        <v>-3.9900005000000002E-2</v>
      </c>
      <c r="E22">
        <v>-2.8630017999999979E-2</v>
      </c>
      <c r="F22">
        <f t="shared" si="0"/>
        <v>1.5499956999999995E-2</v>
      </c>
      <c r="G22">
        <f t="shared" si="3"/>
        <v>-3.7950068499999989E-2</v>
      </c>
      <c r="H22">
        <v>5.5923399925000004</v>
      </c>
      <c r="I22" s="1">
        <f t="shared" si="1"/>
        <v>-0.21222968579066445</v>
      </c>
      <c r="J22">
        <f t="shared" si="4"/>
        <v>-0.74624238546383914</v>
      </c>
      <c r="K22">
        <v>2.7952667877190596</v>
      </c>
      <c r="L22">
        <f t="shared" si="2"/>
        <v>-5.3393285302314464E-2</v>
      </c>
    </row>
    <row r="23" spans="1:12" x14ac:dyDescent="0.3">
      <c r="A23">
        <v>22</v>
      </c>
      <c r="B23">
        <v>4.1700009999999788E-3</v>
      </c>
      <c r="C23">
        <v>-1.5169977999999973E-2</v>
      </c>
      <c r="D23">
        <v>-6.4720020000000003E-2</v>
      </c>
      <c r="E23">
        <v>-5.4300009999999954E-2</v>
      </c>
      <c r="F23">
        <f t="shared" si="0"/>
        <v>-6.5299986999999948E-2</v>
      </c>
      <c r="G23">
        <f t="shared" si="3"/>
        <v>-0.16992001199999995</v>
      </c>
      <c r="H23">
        <v>5.5923399925000004</v>
      </c>
      <c r="I23">
        <f t="shared" si="1"/>
        <v>-0.95025047863367973</v>
      </c>
      <c r="J23">
        <f t="shared" si="4"/>
        <v>-0.73802079284301525</v>
      </c>
      <c r="K23">
        <v>2.7952667877190596</v>
      </c>
      <c r="L23">
        <f t="shared" si="2"/>
        <v>-5.2805034287638851E-2</v>
      </c>
    </row>
    <row r="24" spans="1:12" x14ac:dyDescent="0.3">
      <c r="A24">
        <v>23</v>
      </c>
      <c r="B24">
        <v>-2.4029969999999956E-2</v>
      </c>
      <c r="C24">
        <v>-4.1679978000000006E-2</v>
      </c>
      <c r="D24">
        <v>-8.7050021000000019E-2</v>
      </c>
      <c r="E24">
        <v>-7.7889978999999998E-2</v>
      </c>
      <c r="F24">
        <f t="shared" si="0"/>
        <v>-0.14359992699999996</v>
      </c>
      <c r="G24">
        <f t="shared" si="3"/>
        <v>-0.29536996799999998</v>
      </c>
      <c r="H24">
        <v>5.5923399925000004</v>
      </c>
      <c r="I24" s="1">
        <f t="shared" si="1"/>
        <v>-1.6518092846298453</v>
      </c>
      <c r="J24">
        <f t="shared" si="4"/>
        <v>-0.7015588059961656</v>
      </c>
      <c r="K24">
        <v>2.7952667877190596</v>
      </c>
      <c r="L24">
        <f t="shared" si="2"/>
        <v>-5.0196196590497053E-2</v>
      </c>
    </row>
    <row r="25" spans="1:12" x14ac:dyDescent="0.3">
      <c r="A25">
        <v>24</v>
      </c>
      <c r="B25">
        <v>-5.1310002999999993E-2</v>
      </c>
      <c r="C25">
        <v>-6.6590010999999949E-2</v>
      </c>
      <c r="D25">
        <v>-0.1060299945</v>
      </c>
      <c r="E25">
        <v>-9.8489999999999966E-2</v>
      </c>
      <c r="F25">
        <f t="shared" si="0"/>
        <v>-0.21639001399999991</v>
      </c>
      <c r="G25">
        <f t="shared" si="3"/>
        <v>-0.40947002949999994</v>
      </c>
      <c r="H25">
        <v>5.5923399925000004</v>
      </c>
      <c r="I25">
        <f t="shared" si="1"/>
        <v>-2.2898956217030046</v>
      </c>
      <c r="J25">
        <f t="shared" si="4"/>
        <v>-0.63808633707315932</v>
      </c>
      <c r="K25">
        <v>2.7952667877190596</v>
      </c>
      <c r="L25">
        <f t="shared" si="2"/>
        <v>-4.5654771836203756E-2</v>
      </c>
    </row>
    <row r="26" spans="1:12" x14ac:dyDescent="0.3">
      <c r="A26">
        <v>25</v>
      </c>
      <c r="B26">
        <v>-7.6609969000000055E-2</v>
      </c>
      <c r="C26">
        <v>-8.8940024000000006E-2</v>
      </c>
      <c r="D26">
        <v>-0.12094002999999999</v>
      </c>
      <c r="E26">
        <v>-0.11530000000000001</v>
      </c>
      <c r="F26">
        <f t="shared" si="0"/>
        <v>-0.28084999300000008</v>
      </c>
      <c r="G26">
        <f t="shared" si="3"/>
        <v>-0.50782001750000005</v>
      </c>
      <c r="H26">
        <v>5.5923399925000004</v>
      </c>
      <c r="I26" s="1">
        <f t="shared" si="1"/>
        <v>-2.8399021928573003</v>
      </c>
      <c r="J26">
        <f t="shared" si="4"/>
        <v>-0.55000657115429563</v>
      </c>
      <c r="K26">
        <v>2.7952667877190596</v>
      </c>
      <c r="L26">
        <f t="shared" si="2"/>
        <v>-3.9352706766362114E-2</v>
      </c>
    </row>
    <row r="27" spans="1:12" x14ac:dyDescent="0.3">
      <c r="A27">
        <v>26</v>
      </c>
      <c r="B27">
        <v>-9.8969996000000005E-2</v>
      </c>
      <c r="C27">
        <v>-0.10786998299999995</v>
      </c>
      <c r="D27">
        <v>-0.13119997850000001</v>
      </c>
      <c r="E27">
        <v>-0.12768000400000001</v>
      </c>
      <c r="F27">
        <f t="shared" si="0"/>
        <v>-0.33451998299999997</v>
      </c>
      <c r="G27">
        <f t="shared" si="3"/>
        <v>-0.58665999149999992</v>
      </c>
      <c r="H27">
        <v>5.5923399925000004</v>
      </c>
      <c r="I27">
        <f t="shared" si="1"/>
        <v>-3.2808021324651597</v>
      </c>
      <c r="J27">
        <f t="shared" si="4"/>
        <v>-0.44089993960785945</v>
      </c>
      <c r="K27">
        <v>2.7952667877190596</v>
      </c>
      <c r="L27">
        <f t="shared" si="2"/>
        <v>-3.1546179530694045E-2</v>
      </c>
    </row>
    <row r="28" spans="1:12" x14ac:dyDescent="0.3">
      <c r="A28">
        <v>27</v>
      </c>
      <c r="B28">
        <v>-0.11752998800000003</v>
      </c>
      <c r="C28">
        <v>-0.12265998099999997</v>
      </c>
      <c r="D28">
        <v>-0.13642001199999998</v>
      </c>
      <c r="E28">
        <v>-0.13515001500000001</v>
      </c>
      <c r="F28">
        <f t="shared" si="0"/>
        <v>-0.37533998400000002</v>
      </c>
      <c r="G28">
        <f t="shared" si="3"/>
        <v>-0.64295997449999998</v>
      </c>
      <c r="H28">
        <v>5.5923399925000004</v>
      </c>
      <c r="I28" s="1">
        <f t="shared" si="1"/>
        <v>-3.5956507789731305</v>
      </c>
      <c r="J28">
        <f t="shared" si="4"/>
        <v>-0.31484864650797073</v>
      </c>
      <c r="K28">
        <v>2.7952667877190596</v>
      </c>
      <c r="L28">
        <f t="shared" si="2"/>
        <v>-2.2527269875723566E-2</v>
      </c>
    </row>
    <row r="29" spans="1:12" x14ac:dyDescent="0.3">
      <c r="A29">
        <v>28</v>
      </c>
      <c r="B29">
        <v>-0.13156998199999997</v>
      </c>
      <c r="C29">
        <v>-0.13273000700000004</v>
      </c>
      <c r="D29">
        <v>-0.13639999149999998</v>
      </c>
      <c r="E29">
        <v>-0.13743001200000005</v>
      </c>
      <c r="F29">
        <f t="shared" si="0"/>
        <v>-0.40173000100000006</v>
      </c>
      <c r="G29">
        <f t="shared" si="3"/>
        <v>-0.67455000450000013</v>
      </c>
      <c r="H29">
        <v>5.5923399925000004</v>
      </c>
      <c r="I29">
        <f t="shared" si="1"/>
        <v>-3.772312967106406</v>
      </c>
      <c r="J29">
        <f t="shared" si="4"/>
        <v>-0.1766621881332755</v>
      </c>
      <c r="K29">
        <v>2.7952667877190596</v>
      </c>
      <c r="L29">
        <f t="shared" si="2"/>
        <v>-1.2640094956906208E-2</v>
      </c>
    </row>
    <row r="30" spans="1:12" x14ac:dyDescent="0.3">
      <c r="A30">
        <v>29</v>
      </c>
      <c r="B30">
        <v>-0.14055001700000003</v>
      </c>
      <c r="C30">
        <v>-0.13770997499999998</v>
      </c>
      <c r="D30">
        <v>-0.13113999399999998</v>
      </c>
      <c r="E30">
        <v>-0.13442999100000003</v>
      </c>
      <c r="F30">
        <f t="shared" si="0"/>
        <v>-0.41268998300000004</v>
      </c>
      <c r="G30">
        <f t="shared" si="3"/>
        <v>-0.68022996849999995</v>
      </c>
      <c r="H30">
        <v>5.5923399925000004</v>
      </c>
      <c r="I30" s="1">
        <f t="shared" si="1"/>
        <v>-3.8040772569395651</v>
      </c>
      <c r="J30">
        <f t="shared" si="4"/>
        <v>-3.1764289833159154E-2</v>
      </c>
      <c r="K30">
        <v>2.7952667877190596</v>
      </c>
      <c r="L30">
        <f t="shared" si="2"/>
        <v>-2.2727197255528403E-3</v>
      </c>
    </row>
    <row r="31" spans="1:12" x14ac:dyDescent="0.3">
      <c r="A31">
        <v>30</v>
      </c>
      <c r="B31">
        <v>-0.14412999199999998</v>
      </c>
      <c r="C31">
        <v>-0.13739001799999995</v>
      </c>
      <c r="D31">
        <v>-0.12082999900000001</v>
      </c>
      <c r="E31">
        <v>-0.12625998299999996</v>
      </c>
      <c r="F31">
        <f t="shared" si="0"/>
        <v>-0.4077799929999999</v>
      </c>
      <c r="G31">
        <f t="shared" si="3"/>
        <v>-0.6597499859999999</v>
      </c>
      <c r="H31">
        <v>5.5923399925000004</v>
      </c>
      <c r="I31">
        <f t="shared" si="1"/>
        <v>-3.6895462317591146</v>
      </c>
      <c r="J31">
        <f t="shared" si="4"/>
        <v>0.11453102518045055</v>
      </c>
      <c r="K31">
        <v>2.7952667877190596</v>
      </c>
      <c r="L31">
        <f t="shared" si="2"/>
        <v>8.1946400024240952E-3</v>
      </c>
    </row>
    <row r="32" spans="1:12" x14ac:dyDescent="0.3">
      <c r="A32">
        <v>31</v>
      </c>
      <c r="B32">
        <v>-0.14217996600000005</v>
      </c>
      <c r="C32">
        <v>-0.13178998200000003</v>
      </c>
      <c r="D32">
        <v>-0.105880022</v>
      </c>
      <c r="E32">
        <v>-0.11324000400000001</v>
      </c>
      <c r="F32">
        <f t="shared" si="0"/>
        <v>-0.38720995200000008</v>
      </c>
      <c r="G32">
        <f t="shared" si="3"/>
        <v>-0.61391997300000012</v>
      </c>
      <c r="H32">
        <v>5.5923399925000004</v>
      </c>
      <c r="I32" s="1">
        <f t="shared" si="1"/>
        <v>-3.4332492172024209</v>
      </c>
      <c r="J32">
        <f t="shared" si="4"/>
        <v>0.25629701455669363</v>
      </c>
      <c r="K32">
        <v>2.7952667877190596</v>
      </c>
      <c r="L32">
        <f t="shared" si="2"/>
        <v>1.8337928650154517E-2</v>
      </c>
    </row>
    <row r="33" spans="1:12" x14ac:dyDescent="0.3">
      <c r="A33">
        <v>32</v>
      </c>
      <c r="B33">
        <v>-0.134759992</v>
      </c>
      <c r="C33">
        <v>-0.12111997600000002</v>
      </c>
      <c r="D33">
        <v>-8.6870007500000013E-2</v>
      </c>
      <c r="E33">
        <v>-9.5870017999999946E-2</v>
      </c>
      <c r="F33">
        <f t="shared" si="0"/>
        <v>-0.35174998599999996</v>
      </c>
      <c r="G33">
        <f t="shared" si="3"/>
        <v>-0.54450001549999993</v>
      </c>
      <c r="H33">
        <v>5.5923399925000004</v>
      </c>
      <c r="I33">
        <f t="shared" si="1"/>
        <v>-3.0450292125975196</v>
      </c>
      <c r="J33">
        <f t="shared" si="4"/>
        <v>0.38822000460490136</v>
      </c>
      <c r="K33">
        <v>2.7952667877190596</v>
      </c>
      <c r="L33">
        <f t="shared" si="2"/>
        <v>2.7776955409804675E-2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3581-63E2-4BC1-9DB8-B10B2A37A9F7}">
  <dimension ref="A1:R33"/>
  <sheetViews>
    <sheetView topLeftCell="A10" zoomScale="85" zoomScaleNormal="85" workbookViewId="0">
      <selection activeCell="R2" sqref="R2:R33"/>
    </sheetView>
  </sheetViews>
  <sheetFormatPr defaultRowHeight="14" x14ac:dyDescent="0.3"/>
  <sheetData>
    <row r="1" spans="1:18" x14ac:dyDescent="0.3">
      <c r="B1" t="s">
        <v>0</v>
      </c>
      <c r="C1" t="s">
        <v>1</v>
      </c>
      <c r="D1" t="s">
        <v>2</v>
      </c>
      <c r="E1" t="s">
        <v>3</v>
      </c>
    </row>
    <row r="2" spans="1:18" x14ac:dyDescent="0.3">
      <c r="A2">
        <v>1</v>
      </c>
      <c r="B2">
        <v>-0.12216001700000001</v>
      </c>
      <c r="C2">
        <v>-0.10580000299999998</v>
      </c>
      <c r="D2">
        <v>-6.4509987999999976E-2</v>
      </c>
      <c r="E2">
        <v>-7.4809997999999989E-2</v>
      </c>
      <c r="F2" s="1">
        <v>3.8379400000000001</v>
      </c>
      <c r="G2" s="1">
        <v>6.7478899999999999</v>
      </c>
      <c r="H2" s="1">
        <v>-4.17157</v>
      </c>
      <c r="I2" s="1">
        <v>-2.2427100000000002</v>
      </c>
      <c r="J2">
        <f>B2*F2</f>
        <v>-0.46884281564498004</v>
      </c>
      <c r="K2">
        <f t="shared" ref="K2:M17" si="0">C2*G2</f>
        <v>-0.71392678224366979</v>
      </c>
      <c r="L2" s="2">
        <f t="shared" si="0"/>
        <v>0.2691079306411599</v>
      </c>
      <c r="M2">
        <f>E2*I2</f>
        <v>0.16777713061457999</v>
      </c>
      <c r="N2">
        <f>J2+K2+M2</f>
        <v>-1.01499246727407</v>
      </c>
      <c r="O2">
        <f>N2+L2+L33</f>
        <v>-0.38350021944613505</v>
      </c>
      <c r="P2">
        <v>5.5923399925000004</v>
      </c>
      <c r="Q2">
        <v>61.229218359897359</v>
      </c>
      <c r="R2">
        <f>O2*P2*1602/Q2</f>
        <v>-56.112934350715065</v>
      </c>
    </row>
    <row r="3" spans="1:18" x14ac:dyDescent="0.3">
      <c r="A3">
        <v>2</v>
      </c>
      <c r="B3">
        <v>-0.10486999200000002</v>
      </c>
      <c r="C3">
        <v>-8.6420000000000052E-2</v>
      </c>
      <c r="D3">
        <v>-3.9680004000000019E-2</v>
      </c>
      <c r="E3">
        <v>-5.0880014999999945E-2</v>
      </c>
      <c r="F3" s="1">
        <v>3.8379400000000001</v>
      </c>
      <c r="G3" s="1">
        <v>6.7478899999999999</v>
      </c>
      <c r="H3" s="1">
        <v>-4.17157</v>
      </c>
      <c r="I3" s="1">
        <v>-2.2427100000000002</v>
      </c>
      <c r="J3">
        <f t="shared" ref="J3:M18" si="1">B3*F3</f>
        <v>-0.40248473709648008</v>
      </c>
      <c r="K3">
        <f t="shared" si="0"/>
        <v>-0.58315265380000036</v>
      </c>
      <c r="L3" s="2">
        <f t="shared" si="0"/>
        <v>0.16552791428628008</v>
      </c>
      <c r="M3">
        <f t="shared" si="0"/>
        <v>0.11410911844064989</v>
      </c>
      <c r="N3">
        <f t="shared" ref="N3:N33" si="2">J3+K3+M3</f>
        <v>-0.87152827245583053</v>
      </c>
      <c r="O3">
        <f>N3+L2+L3</f>
        <v>-0.43689242752839053</v>
      </c>
      <c r="P3">
        <v>5.5923399925000004</v>
      </c>
      <c r="Q3">
        <v>61.229218359897359</v>
      </c>
      <c r="R3">
        <f t="shared" ref="R3:R33" si="3">O3*P3*1602/Q3</f>
        <v>-63.925168386164238</v>
      </c>
    </row>
    <row r="4" spans="1:18" x14ac:dyDescent="0.3">
      <c r="A4">
        <v>3</v>
      </c>
      <c r="B4">
        <v>-8.3540021999999992E-2</v>
      </c>
      <c r="C4">
        <v>-6.3710003999999987E-2</v>
      </c>
      <c r="D4">
        <v>-1.3320028999999983E-2</v>
      </c>
      <c r="E4">
        <v>-2.4989992000000016E-2</v>
      </c>
      <c r="F4" s="1">
        <v>3.8379400000000001</v>
      </c>
      <c r="G4" s="1">
        <v>6.7478899999999999</v>
      </c>
      <c r="H4" s="1">
        <v>-4.17157</v>
      </c>
      <c r="I4" s="1">
        <v>-2.2427100000000002</v>
      </c>
      <c r="J4">
        <f t="shared" si="1"/>
        <v>-0.32062159203467999</v>
      </c>
      <c r="K4">
        <f t="shared" si="0"/>
        <v>-0.4299080988915599</v>
      </c>
      <c r="L4" s="2">
        <f t="shared" si="0"/>
        <v>5.5565433375529931E-2</v>
      </c>
      <c r="M4">
        <f t="shared" si="0"/>
        <v>5.6045304958320039E-2</v>
      </c>
      <c r="N4">
        <f t="shared" si="2"/>
        <v>-0.69448438596791984</v>
      </c>
      <c r="O4">
        <f t="shared" ref="O4:O33" si="4">N4+L3+L4</f>
        <v>-0.47339103830610979</v>
      </c>
      <c r="P4">
        <v>5.5923399925000004</v>
      </c>
      <c r="Q4">
        <v>61.229218359897359</v>
      </c>
      <c r="R4">
        <f t="shared" si="3"/>
        <v>-69.265567287161801</v>
      </c>
    </row>
    <row r="5" spans="1:18" x14ac:dyDescent="0.3">
      <c r="A5">
        <v>4</v>
      </c>
      <c r="B5">
        <v>-5.900999899999998E-2</v>
      </c>
      <c r="C5">
        <v>-3.8559973000000025E-2</v>
      </c>
      <c r="D5">
        <v>1.3549998499999993E-2</v>
      </c>
      <c r="E5">
        <v>1.8500000000000001E-3</v>
      </c>
      <c r="F5" s="1">
        <v>3.8379400000000001</v>
      </c>
      <c r="G5" s="1">
        <v>6.7478899999999999</v>
      </c>
      <c r="H5" s="1">
        <v>-4.17157</v>
      </c>
      <c r="I5" s="1">
        <v>-2.2427100000000002</v>
      </c>
      <c r="J5">
        <f t="shared" si="1"/>
        <v>-0.22647683556205994</v>
      </c>
      <c r="K5">
        <f t="shared" si="0"/>
        <v>-0.26019845620697019</v>
      </c>
      <c r="L5" s="2">
        <f t="shared" si="0"/>
        <v>-5.652476724264497E-2</v>
      </c>
      <c r="M5">
        <f t="shared" si="0"/>
        <v>-4.1490135000000006E-3</v>
      </c>
      <c r="N5">
        <f t="shared" si="2"/>
        <v>-0.49082430526903015</v>
      </c>
      <c r="O5">
        <f t="shared" si="4"/>
        <v>-0.4917836391361452</v>
      </c>
      <c r="P5">
        <v>5.5923399925000004</v>
      </c>
      <c r="Q5">
        <v>61.229218359897359</v>
      </c>
      <c r="R5">
        <f t="shared" si="3"/>
        <v>-71.95673342105664</v>
      </c>
    </row>
    <row r="6" spans="1:18" x14ac:dyDescent="0.3">
      <c r="A6">
        <v>5</v>
      </c>
      <c r="B6">
        <v>-3.2209991999999965E-2</v>
      </c>
      <c r="C6">
        <v>-1.1920005000000011E-2</v>
      </c>
      <c r="D6">
        <v>3.9900005000000016E-2</v>
      </c>
      <c r="E6">
        <v>2.8630017999999979E-2</v>
      </c>
      <c r="F6" s="1">
        <v>3.8379400000000001</v>
      </c>
      <c r="G6" s="1">
        <v>6.7478899999999999</v>
      </c>
      <c r="H6" s="1">
        <v>-4.17157</v>
      </c>
      <c r="I6" s="1">
        <v>-2.2427100000000002</v>
      </c>
      <c r="J6">
        <f t="shared" si="1"/>
        <v>-0.12362001669647987</v>
      </c>
      <c r="K6">
        <f t="shared" si="0"/>
        <v>-8.0434882539450081E-2</v>
      </c>
      <c r="L6" s="2">
        <f t="shared" si="0"/>
        <v>-0.16644566385785006</v>
      </c>
      <c r="M6">
        <f t="shared" si="0"/>
        <v>-6.4208827668779958E-2</v>
      </c>
      <c r="N6">
        <f t="shared" si="2"/>
        <v>-0.2682637269047099</v>
      </c>
      <c r="O6">
        <f t="shared" si="4"/>
        <v>-0.49123415800520498</v>
      </c>
      <c r="P6">
        <v>5.5923399925000004</v>
      </c>
      <c r="Q6">
        <v>61.229218359897359</v>
      </c>
      <c r="R6">
        <f t="shared" si="3"/>
        <v>-71.87633451366635</v>
      </c>
    </row>
    <row r="7" spans="1:18" x14ac:dyDescent="0.3">
      <c r="A7">
        <v>6</v>
      </c>
      <c r="B7">
        <v>-4.1700009999999788E-3</v>
      </c>
      <c r="C7">
        <v>1.5169999999999999E-2</v>
      </c>
      <c r="D7">
        <v>6.4720020000000017E-2</v>
      </c>
      <c r="E7">
        <v>5.4299999000000002E-2</v>
      </c>
      <c r="F7" s="1">
        <v>3.8379400000000001</v>
      </c>
      <c r="G7" s="1">
        <v>6.7478899999999999</v>
      </c>
      <c r="H7" s="1">
        <v>-4.17157</v>
      </c>
      <c r="I7" s="1">
        <v>-2.2427100000000002</v>
      </c>
      <c r="J7">
        <f t="shared" si="1"/>
        <v>-1.6004213637939919E-2</v>
      </c>
      <c r="K7">
        <f t="shared" si="0"/>
        <v>0.1023654913</v>
      </c>
      <c r="L7" s="2">
        <f t="shared" si="0"/>
        <v>-0.2699840938314001</v>
      </c>
      <c r="M7">
        <f t="shared" si="0"/>
        <v>-0.12177915075729001</v>
      </c>
      <c r="N7">
        <f t="shared" si="2"/>
        <v>-3.5417873095229924E-2</v>
      </c>
      <c r="O7">
        <f t="shared" si="4"/>
        <v>-0.47184763078448011</v>
      </c>
      <c r="P7">
        <v>5.5923399925000004</v>
      </c>
      <c r="Q7">
        <v>61.229218359897402</v>
      </c>
      <c r="R7">
        <f t="shared" si="3"/>
        <v>-69.039739189689783</v>
      </c>
    </row>
    <row r="8" spans="1:18" x14ac:dyDescent="0.3">
      <c r="A8">
        <v>7</v>
      </c>
      <c r="B8">
        <v>2.4029999999999999E-2</v>
      </c>
      <c r="C8">
        <v>4.1679978000000006E-2</v>
      </c>
      <c r="D8">
        <v>8.7050021000000005E-2</v>
      </c>
      <c r="E8">
        <v>7.7889979000000054E-2</v>
      </c>
      <c r="F8" s="1">
        <v>3.8379400000000001</v>
      </c>
      <c r="G8" s="1">
        <v>6.7478899999999999</v>
      </c>
      <c r="H8" s="1">
        <v>-4.17157</v>
      </c>
      <c r="I8" s="1">
        <v>-2.2427100000000002</v>
      </c>
      <c r="J8">
        <f t="shared" si="1"/>
        <v>9.2225698199999998E-2</v>
      </c>
      <c r="K8">
        <f t="shared" si="0"/>
        <v>0.28125190674642003</v>
      </c>
      <c r="L8" s="2">
        <f t="shared" si="0"/>
        <v>-0.36313525610297004</v>
      </c>
      <c r="M8">
        <f t="shared" si="0"/>
        <v>-0.17468463480309013</v>
      </c>
      <c r="N8">
        <f t="shared" si="2"/>
        <v>0.19879297014332989</v>
      </c>
      <c r="O8">
        <f t="shared" si="4"/>
        <v>-0.43432637979104027</v>
      </c>
      <c r="P8">
        <v>5.5923399925000004</v>
      </c>
      <c r="Q8">
        <v>61.229218359897402</v>
      </c>
      <c r="R8">
        <f t="shared" si="3"/>
        <v>-63.549709752960041</v>
      </c>
    </row>
    <row r="9" spans="1:18" x14ac:dyDescent="0.3">
      <c r="A9">
        <v>8</v>
      </c>
      <c r="B9">
        <v>5.1310002999999993E-2</v>
      </c>
      <c r="C9">
        <v>6.6590003999999994E-2</v>
      </c>
      <c r="D9">
        <v>0.10602998699999999</v>
      </c>
      <c r="E9">
        <v>9.8489999999999994E-2</v>
      </c>
      <c r="F9" s="1">
        <v>3.8379400000000001</v>
      </c>
      <c r="G9" s="1">
        <v>6.7478899999999999</v>
      </c>
      <c r="H9" s="1">
        <v>-4.17157</v>
      </c>
      <c r="I9" s="1">
        <v>-2.2427100000000002</v>
      </c>
      <c r="J9">
        <f t="shared" si="1"/>
        <v>0.19692471291381997</v>
      </c>
      <c r="K9">
        <f t="shared" si="0"/>
        <v>0.44934202209155993</v>
      </c>
      <c r="L9" s="2">
        <f t="shared" si="0"/>
        <v>-0.44231151286958997</v>
      </c>
      <c r="M9">
        <f t="shared" si="0"/>
        <v>-0.2208845079</v>
      </c>
      <c r="N9">
        <f t="shared" si="2"/>
        <v>0.42538222710537987</v>
      </c>
      <c r="O9">
        <f t="shared" si="4"/>
        <v>-0.38006454186718014</v>
      </c>
      <c r="P9">
        <v>5.5923399925000004</v>
      </c>
      <c r="Q9">
        <v>61.229218359897402</v>
      </c>
      <c r="R9">
        <f t="shared" si="3"/>
        <v>-55.610233333446907</v>
      </c>
    </row>
    <row r="10" spans="1:18" x14ac:dyDescent="0.3">
      <c r="A10">
        <v>9</v>
      </c>
      <c r="B10">
        <v>7.6609998999999998E-2</v>
      </c>
      <c r="C10">
        <v>8.8940024000000006E-2</v>
      </c>
      <c r="D10">
        <v>0.12094002999999998</v>
      </c>
      <c r="E10">
        <v>0.11529999999999996</v>
      </c>
      <c r="F10" s="1">
        <v>3.8379400000000001</v>
      </c>
      <c r="G10" s="1">
        <v>6.7478899999999999</v>
      </c>
      <c r="H10" s="1">
        <v>-4.17157</v>
      </c>
      <c r="I10" s="1">
        <v>-2.2427100000000002</v>
      </c>
      <c r="J10">
        <f t="shared" si="1"/>
        <v>0.29402457956206002</v>
      </c>
      <c r="K10">
        <f t="shared" si="0"/>
        <v>0.60015749854936007</v>
      </c>
      <c r="L10" s="2">
        <f t="shared" si="0"/>
        <v>-0.50450980094709985</v>
      </c>
      <c r="M10">
        <f t="shared" si="0"/>
        <v>-0.25858446299999993</v>
      </c>
      <c r="N10">
        <f t="shared" si="2"/>
        <v>0.6355976151114201</v>
      </c>
      <c r="O10">
        <f t="shared" si="4"/>
        <v>-0.31122369870526972</v>
      </c>
      <c r="P10">
        <v>5.5923399925000004</v>
      </c>
      <c r="Q10">
        <v>61.229218359897402</v>
      </c>
      <c r="R10">
        <f t="shared" si="3"/>
        <v>-45.537587955118227</v>
      </c>
    </row>
    <row r="11" spans="1:18" x14ac:dyDescent="0.3">
      <c r="A11">
        <v>10</v>
      </c>
      <c r="B11">
        <v>9.8969996000000005E-2</v>
      </c>
      <c r="C11">
        <v>0.10786999799999999</v>
      </c>
      <c r="D11">
        <v>0.13120000099999998</v>
      </c>
      <c r="E11">
        <v>0.12768000400000001</v>
      </c>
      <c r="F11" s="1">
        <v>3.8379400000000001</v>
      </c>
      <c r="G11" s="1">
        <v>6.7478899999999999</v>
      </c>
      <c r="H11" s="1">
        <v>-4.17157</v>
      </c>
      <c r="I11" s="1">
        <v>-2.2427100000000002</v>
      </c>
      <c r="J11">
        <f t="shared" si="1"/>
        <v>0.37984090644824003</v>
      </c>
      <c r="K11">
        <f t="shared" si="0"/>
        <v>0.72789488080421993</v>
      </c>
      <c r="L11" s="2">
        <f t="shared" si="0"/>
        <v>-0.54730998817156995</v>
      </c>
      <c r="M11">
        <f t="shared" si="0"/>
        <v>-0.28634922177084005</v>
      </c>
      <c r="N11">
        <f t="shared" si="2"/>
        <v>0.82138656548161992</v>
      </c>
      <c r="O11">
        <f t="shared" si="4"/>
        <v>-0.23043322363704988</v>
      </c>
      <c r="P11">
        <v>5.5923399925000004</v>
      </c>
      <c r="Q11">
        <v>61.229218359897402</v>
      </c>
      <c r="R11">
        <f t="shared" si="3"/>
        <v>-33.716497917116712</v>
      </c>
    </row>
    <row r="12" spans="1:18" x14ac:dyDescent="0.3">
      <c r="A12">
        <v>11</v>
      </c>
      <c r="B12">
        <v>0.11753000299999999</v>
      </c>
      <c r="C12">
        <v>0.12265998099999997</v>
      </c>
      <c r="D12">
        <v>0.13642001199999998</v>
      </c>
      <c r="E12">
        <v>0.13515001500000001</v>
      </c>
      <c r="F12" s="1">
        <v>3.8379400000000001</v>
      </c>
      <c r="G12" s="1">
        <v>6.7478899999999999</v>
      </c>
      <c r="H12" s="1">
        <v>-4.17157</v>
      </c>
      <c r="I12" s="1">
        <v>-2.2427100000000002</v>
      </c>
      <c r="J12">
        <f t="shared" si="1"/>
        <v>0.45107309971381998</v>
      </c>
      <c r="K12">
        <f t="shared" si="0"/>
        <v>0.82769605919008982</v>
      </c>
      <c r="L12" s="2">
        <f t="shared" si="0"/>
        <v>-0.56908562945883989</v>
      </c>
      <c r="M12">
        <f t="shared" si="0"/>
        <v>-0.30310229014065004</v>
      </c>
      <c r="N12">
        <f t="shared" si="2"/>
        <v>0.97566686876325981</v>
      </c>
      <c r="O12">
        <f t="shared" si="4"/>
        <v>-0.14072874886715003</v>
      </c>
      <c r="P12">
        <v>5.5923399925000004</v>
      </c>
      <c r="Q12">
        <v>61.229218359897402</v>
      </c>
      <c r="R12">
        <f t="shared" si="3"/>
        <v>-20.591130450577989</v>
      </c>
    </row>
    <row r="13" spans="1:18" x14ac:dyDescent="0.3">
      <c r="A13">
        <v>12</v>
      </c>
      <c r="B13">
        <v>0.13156998200000003</v>
      </c>
      <c r="C13">
        <v>0.13273000700000001</v>
      </c>
      <c r="D13">
        <v>0.13639999899999999</v>
      </c>
      <c r="E13">
        <v>0.137429997</v>
      </c>
      <c r="F13" s="1">
        <v>3.8379400000000001</v>
      </c>
      <c r="G13" s="1">
        <v>6.7478899999999999</v>
      </c>
      <c r="H13" s="1">
        <v>-4.17157</v>
      </c>
      <c r="I13" s="1">
        <v>-2.2427100000000002</v>
      </c>
      <c r="J13">
        <f t="shared" si="1"/>
        <v>0.50495769671708013</v>
      </c>
      <c r="K13">
        <f t="shared" si="0"/>
        <v>0.89564748693523011</v>
      </c>
      <c r="L13" s="2">
        <f t="shared" si="0"/>
        <v>-0.56900214382842995</v>
      </c>
      <c r="M13">
        <f t="shared" si="0"/>
        <v>-0.30821562857187002</v>
      </c>
      <c r="N13">
        <f t="shared" si="2"/>
        <v>1.0923895550804403</v>
      </c>
      <c r="O13">
        <f t="shared" si="4"/>
        <v>-4.5698218206829511E-2</v>
      </c>
      <c r="P13">
        <v>5.5923399925000004</v>
      </c>
      <c r="Q13">
        <v>61.229218359897402</v>
      </c>
      <c r="R13">
        <f t="shared" si="3"/>
        <v>-6.6864658431952755</v>
      </c>
    </row>
    <row r="14" spans="1:18" x14ac:dyDescent="0.3">
      <c r="A14">
        <v>13</v>
      </c>
      <c r="B14">
        <v>0.14055000200000001</v>
      </c>
      <c r="C14">
        <v>0.13770997500000004</v>
      </c>
      <c r="D14">
        <v>0.13113999399999998</v>
      </c>
      <c r="E14">
        <v>0.13442999099999997</v>
      </c>
      <c r="F14" s="1">
        <v>3.8379400000000001</v>
      </c>
      <c r="G14" s="1">
        <v>6.7478899999999999</v>
      </c>
      <c r="H14" s="1">
        <v>-4.17157</v>
      </c>
      <c r="I14" s="1">
        <v>-2.2427100000000002</v>
      </c>
      <c r="J14">
        <f t="shared" si="1"/>
        <v>0.53942247467588</v>
      </c>
      <c r="K14">
        <f t="shared" si="0"/>
        <v>0.92925176320275027</v>
      </c>
      <c r="L14" s="2">
        <f t="shared" si="0"/>
        <v>-0.54705966477057988</v>
      </c>
      <c r="M14">
        <f t="shared" si="0"/>
        <v>-0.30148748511560997</v>
      </c>
      <c r="N14">
        <f t="shared" si="2"/>
        <v>1.1671867527630202</v>
      </c>
      <c r="O14">
        <f t="shared" si="4"/>
        <v>5.1124944164010366E-2</v>
      </c>
      <c r="P14">
        <v>5.5923399925000004</v>
      </c>
      <c r="Q14">
        <v>61.229218359897402</v>
      </c>
      <c r="R14">
        <f t="shared" si="3"/>
        <v>7.4804928135432824</v>
      </c>
    </row>
    <row r="15" spans="1:18" x14ac:dyDescent="0.3">
      <c r="A15">
        <v>14</v>
      </c>
      <c r="B15">
        <v>0.14412999199999998</v>
      </c>
      <c r="C15">
        <v>0.13739000300000001</v>
      </c>
      <c r="D15">
        <v>0.12082999900000002</v>
      </c>
      <c r="E15">
        <v>0.12625999700000001</v>
      </c>
      <c r="F15" s="1">
        <v>3.8379400000000001</v>
      </c>
      <c r="G15" s="1">
        <v>6.7478899999999999</v>
      </c>
      <c r="H15" s="1">
        <v>-4.17157</v>
      </c>
      <c r="I15" s="1">
        <v>-2.2427100000000002</v>
      </c>
      <c r="J15">
        <f t="shared" si="1"/>
        <v>0.55316226149647996</v>
      </c>
      <c r="K15">
        <f t="shared" si="0"/>
        <v>0.92709262734367004</v>
      </c>
      <c r="L15" s="2">
        <f t="shared" si="0"/>
        <v>-0.50405079892843008</v>
      </c>
      <c r="M15">
        <f t="shared" si="0"/>
        <v>-0.28316455787187006</v>
      </c>
      <c r="N15">
        <f t="shared" si="2"/>
        <v>1.1970903309682799</v>
      </c>
      <c r="O15">
        <f t="shared" si="4"/>
        <v>0.14597986726926993</v>
      </c>
      <c r="P15">
        <v>5.5923399925000004</v>
      </c>
      <c r="Q15">
        <v>61.229218359897402</v>
      </c>
      <c r="R15">
        <f t="shared" si="3"/>
        <v>21.359462897927134</v>
      </c>
    </row>
    <row r="16" spans="1:18" x14ac:dyDescent="0.3">
      <c r="A16">
        <v>15</v>
      </c>
      <c r="B16">
        <v>0.142179996</v>
      </c>
      <c r="C16">
        <v>0.13178998200000003</v>
      </c>
      <c r="D16">
        <v>0.10588002200000002</v>
      </c>
      <c r="E16">
        <v>0.11324000400000001</v>
      </c>
      <c r="F16" s="1">
        <v>3.8379400000000001</v>
      </c>
      <c r="G16" s="1">
        <v>6.7478899999999999</v>
      </c>
      <c r="H16" s="1">
        <v>-4.17157</v>
      </c>
      <c r="I16" s="1">
        <v>-2.2427100000000002</v>
      </c>
      <c r="J16">
        <f t="shared" si="1"/>
        <v>0.54567829384824007</v>
      </c>
      <c r="K16">
        <f t="shared" si="0"/>
        <v>0.88930430163798013</v>
      </c>
      <c r="L16" s="2">
        <f t="shared" si="0"/>
        <v>-0.4416859233745401</v>
      </c>
      <c r="M16">
        <f t="shared" si="0"/>
        <v>-0.25396448937084004</v>
      </c>
      <c r="N16">
        <f t="shared" si="2"/>
        <v>1.1810181061153799</v>
      </c>
      <c r="O16">
        <f t="shared" si="4"/>
        <v>0.23528138381240976</v>
      </c>
      <c r="P16">
        <v>5.5923399925000004</v>
      </c>
      <c r="Q16">
        <v>61.229218359897402</v>
      </c>
      <c r="R16">
        <f t="shared" si="3"/>
        <v>34.425870375976366</v>
      </c>
    </row>
    <row r="17" spans="1:18" x14ac:dyDescent="0.3">
      <c r="A17">
        <v>16</v>
      </c>
      <c r="B17">
        <v>0.13476002200000003</v>
      </c>
      <c r="C17">
        <v>0.12111999800000001</v>
      </c>
      <c r="D17">
        <v>8.6870015000000023E-2</v>
      </c>
      <c r="E17">
        <v>9.5870002999999995E-2</v>
      </c>
      <c r="F17" s="1">
        <v>3.8379400000000001</v>
      </c>
      <c r="G17" s="1">
        <v>6.7478899999999999</v>
      </c>
      <c r="H17" s="1">
        <v>-4.17157</v>
      </c>
      <c r="I17" s="1">
        <v>-2.2427100000000002</v>
      </c>
      <c r="J17">
        <f t="shared" si="1"/>
        <v>0.51720087883468013</v>
      </c>
      <c r="K17">
        <f t="shared" si="0"/>
        <v>0.81730442330422004</v>
      </c>
      <c r="L17" s="2">
        <f t="shared" si="0"/>
        <v>-0.36238434847355011</v>
      </c>
      <c r="M17">
        <f t="shared" si="0"/>
        <v>-0.21500861442813002</v>
      </c>
      <c r="N17">
        <f t="shared" si="2"/>
        <v>1.1194966877107702</v>
      </c>
      <c r="O17">
        <f t="shared" si="4"/>
        <v>0.31542641586268</v>
      </c>
      <c r="P17">
        <v>5.5923399925000004</v>
      </c>
      <c r="Q17">
        <v>61.229218359897402</v>
      </c>
      <c r="R17">
        <f t="shared" si="3"/>
        <v>46.152520567905185</v>
      </c>
    </row>
    <row r="18" spans="1:18" x14ac:dyDescent="0.3">
      <c r="A18">
        <v>17</v>
      </c>
      <c r="B18">
        <v>0.122160017</v>
      </c>
      <c r="C18">
        <v>0.10580003299999996</v>
      </c>
      <c r="D18">
        <v>6.450998799999999E-2</v>
      </c>
      <c r="E18">
        <v>7.4810028000000028E-2</v>
      </c>
      <c r="F18" s="1">
        <v>3.8379400000000001</v>
      </c>
      <c r="G18" s="1">
        <v>6.7478899999999999</v>
      </c>
      <c r="H18" s="1">
        <v>-4.17157</v>
      </c>
      <c r="I18" s="1">
        <v>-2.2427100000000002</v>
      </c>
      <c r="J18">
        <f t="shared" si="1"/>
        <v>0.46884281564497998</v>
      </c>
      <c r="K18">
        <f t="shared" si="1"/>
        <v>0.71392698468036975</v>
      </c>
      <c r="L18" s="2">
        <f t="shared" si="1"/>
        <v>-0.26910793064115995</v>
      </c>
      <c r="M18">
        <f t="shared" si="1"/>
        <v>-0.16777719789588008</v>
      </c>
      <c r="N18">
        <f t="shared" si="2"/>
        <v>1.0149926024294698</v>
      </c>
      <c r="O18">
        <f t="shared" si="4"/>
        <v>0.38350032331475975</v>
      </c>
      <c r="P18">
        <v>5.5923399925000004</v>
      </c>
      <c r="Q18">
        <v>61.229218359897402</v>
      </c>
      <c r="R18">
        <f t="shared" si="3"/>
        <v>56.112949548550702</v>
      </c>
    </row>
    <row r="19" spans="1:18" x14ac:dyDescent="0.3">
      <c r="A19">
        <v>18</v>
      </c>
      <c r="B19">
        <v>0.10486996199999998</v>
      </c>
      <c r="C19">
        <v>8.6419999999999997E-2</v>
      </c>
      <c r="D19">
        <v>3.9680004000000019E-2</v>
      </c>
      <c r="E19">
        <v>5.0880000000000002E-2</v>
      </c>
      <c r="F19" s="1">
        <v>3.8379400000000001</v>
      </c>
      <c r="G19" s="1">
        <v>6.7478899999999999</v>
      </c>
      <c r="H19" s="1">
        <v>-4.17157</v>
      </c>
      <c r="I19" s="1">
        <v>-2.2427100000000002</v>
      </c>
      <c r="J19">
        <f t="shared" ref="J19:M33" si="5">B19*F19</f>
        <v>0.40248462195827994</v>
      </c>
      <c r="K19">
        <f t="shared" si="5"/>
        <v>0.58315265379999992</v>
      </c>
      <c r="L19" s="2">
        <f t="shared" si="5"/>
        <v>-0.16552791428628008</v>
      </c>
      <c r="M19">
        <f t="shared" si="5"/>
        <v>-0.11410908480000001</v>
      </c>
      <c r="N19">
        <f t="shared" si="2"/>
        <v>0.87152819095827982</v>
      </c>
      <c r="O19">
        <f t="shared" si="4"/>
        <v>0.43689234603083971</v>
      </c>
      <c r="P19">
        <v>5.5923399925000004</v>
      </c>
      <c r="Q19">
        <v>61.229218359897402</v>
      </c>
      <c r="R19">
        <f t="shared" si="3"/>
        <v>63.925156461616325</v>
      </c>
    </row>
    <row r="20" spans="1:18" x14ac:dyDescent="0.3">
      <c r="A20">
        <v>19</v>
      </c>
      <c r="B20">
        <v>8.3540000000000003E-2</v>
      </c>
      <c r="C20">
        <v>6.3709974000000003E-2</v>
      </c>
      <c r="D20">
        <v>1.3320028999999983E-2</v>
      </c>
      <c r="E20">
        <v>2.4989963000000004E-2</v>
      </c>
      <c r="F20" s="1">
        <v>3.8379400000000001</v>
      </c>
      <c r="G20" s="1">
        <v>6.7478899999999999</v>
      </c>
      <c r="H20" s="1">
        <v>-4.17157</v>
      </c>
      <c r="I20" s="1">
        <v>-2.2427100000000002</v>
      </c>
      <c r="J20">
        <f t="shared" si="5"/>
        <v>0.32062150760000002</v>
      </c>
      <c r="K20">
        <f t="shared" si="5"/>
        <v>0.42990789645485999</v>
      </c>
      <c r="L20" s="2">
        <f t="shared" si="5"/>
        <v>-5.5565433375529931E-2</v>
      </c>
      <c r="M20">
        <f t="shared" si="5"/>
        <v>-5.6045239919730011E-2</v>
      </c>
      <c r="N20">
        <f t="shared" si="2"/>
        <v>0.69448416413513003</v>
      </c>
      <c r="O20">
        <f t="shared" si="4"/>
        <v>0.47339081647331999</v>
      </c>
      <c r="P20">
        <v>5.5923399925000004</v>
      </c>
      <c r="Q20">
        <v>61.229218359897402</v>
      </c>
      <c r="R20">
        <f t="shared" si="3"/>
        <v>69.265534829060954</v>
      </c>
    </row>
    <row r="21" spans="1:18" x14ac:dyDescent="0.3">
      <c r="A21">
        <v>20</v>
      </c>
      <c r="B21">
        <v>5.9010028999999964E-2</v>
      </c>
      <c r="C21">
        <v>3.8559998999999998E-2</v>
      </c>
      <c r="D21">
        <v>-1.3550020499999982E-2</v>
      </c>
      <c r="E21">
        <v>-1.8500089999999858E-3</v>
      </c>
      <c r="F21" s="1">
        <v>3.8379400000000001</v>
      </c>
      <c r="G21" s="1">
        <v>6.7478899999999999</v>
      </c>
      <c r="H21" s="1">
        <v>-4.17157</v>
      </c>
      <c r="I21" s="1">
        <v>-2.2427100000000002</v>
      </c>
      <c r="J21">
        <f t="shared" si="5"/>
        <v>0.22647695070025986</v>
      </c>
      <c r="K21">
        <f t="shared" si="5"/>
        <v>0.26019863165210999</v>
      </c>
      <c r="L21" s="2">
        <f t="shared" si="5"/>
        <v>5.6524859017184924E-2</v>
      </c>
      <c r="M21">
        <f t="shared" si="5"/>
        <v>4.1490336843899682E-3</v>
      </c>
      <c r="N21">
        <f t="shared" si="2"/>
        <v>0.49082461603675981</v>
      </c>
      <c r="O21">
        <f t="shared" si="4"/>
        <v>0.49178404167841477</v>
      </c>
      <c r="P21">
        <v>5.5923399925000004</v>
      </c>
      <c r="Q21">
        <v>61.229218359897402</v>
      </c>
      <c r="R21">
        <f t="shared" si="3"/>
        <v>71.956792320183112</v>
      </c>
    </row>
    <row r="22" spans="1:18" x14ac:dyDescent="0.3">
      <c r="A22">
        <v>21</v>
      </c>
      <c r="B22">
        <v>3.2210000000000003E-2</v>
      </c>
      <c r="C22">
        <v>1.1919974999999972E-2</v>
      </c>
      <c r="D22">
        <v>-3.9900005000000002E-2</v>
      </c>
      <c r="E22">
        <v>-2.8630017999999979E-2</v>
      </c>
      <c r="F22" s="1">
        <v>3.8379400000000001</v>
      </c>
      <c r="G22" s="1">
        <v>6.7478899999999999</v>
      </c>
      <c r="H22" s="1">
        <v>-4.17157</v>
      </c>
      <c r="I22" s="1">
        <v>-2.2427100000000002</v>
      </c>
      <c r="J22">
        <f t="shared" si="5"/>
        <v>0.12362004740000002</v>
      </c>
      <c r="K22">
        <f t="shared" si="5"/>
        <v>8.0434680102749803E-2</v>
      </c>
      <c r="L22" s="2">
        <f t="shared" si="5"/>
        <v>0.16644566385785001</v>
      </c>
      <c r="M22">
        <f t="shared" si="5"/>
        <v>6.4208827668779958E-2</v>
      </c>
      <c r="N22">
        <f t="shared" si="2"/>
        <v>0.26826355517152978</v>
      </c>
      <c r="O22">
        <f t="shared" si="4"/>
        <v>0.49123407804656471</v>
      </c>
      <c r="P22">
        <v>5.5923399925000004</v>
      </c>
      <c r="Q22">
        <v>61.229218359897402</v>
      </c>
      <c r="R22">
        <f t="shared" si="3"/>
        <v>71.876322814288557</v>
      </c>
    </row>
    <row r="23" spans="1:18" x14ac:dyDescent="0.3">
      <c r="A23">
        <v>22</v>
      </c>
      <c r="B23">
        <v>4.1700009999999788E-3</v>
      </c>
      <c r="C23">
        <v>-1.5169977999999973E-2</v>
      </c>
      <c r="D23">
        <v>-6.4720020000000003E-2</v>
      </c>
      <c r="E23">
        <v>-5.4300009999999954E-2</v>
      </c>
      <c r="F23" s="1">
        <v>3.8379400000000001</v>
      </c>
      <c r="G23" s="1">
        <v>6.7478899999999999</v>
      </c>
      <c r="H23" s="1">
        <v>-4.17157</v>
      </c>
      <c r="I23" s="1">
        <v>-2.2427100000000002</v>
      </c>
      <c r="J23">
        <f t="shared" si="5"/>
        <v>1.6004213637939919E-2</v>
      </c>
      <c r="K23">
        <f t="shared" si="5"/>
        <v>-0.10236534284641982</v>
      </c>
      <c r="L23" s="2">
        <f t="shared" si="5"/>
        <v>0.26998409383140004</v>
      </c>
      <c r="M23">
        <f t="shared" si="5"/>
        <v>0.12177917542709991</v>
      </c>
      <c r="N23">
        <f t="shared" si="2"/>
        <v>3.5418046218620006E-2</v>
      </c>
      <c r="O23">
        <f t="shared" si="4"/>
        <v>0.47184780390787007</v>
      </c>
      <c r="P23">
        <v>5.5923399925000004</v>
      </c>
      <c r="Q23">
        <v>61.229218359897402</v>
      </c>
      <c r="R23">
        <f t="shared" si="3"/>
        <v>69.039764520735019</v>
      </c>
    </row>
    <row r="24" spans="1:18" x14ac:dyDescent="0.3">
      <c r="A24">
        <v>23</v>
      </c>
      <c r="B24">
        <v>-2.4029969999999956E-2</v>
      </c>
      <c r="C24">
        <v>-4.1679978000000006E-2</v>
      </c>
      <c r="D24">
        <v>-8.7050021000000019E-2</v>
      </c>
      <c r="E24">
        <v>-7.7889978999999998E-2</v>
      </c>
      <c r="F24" s="1">
        <v>3.8379400000000001</v>
      </c>
      <c r="G24" s="1">
        <v>6.7478899999999999</v>
      </c>
      <c r="H24" s="1">
        <v>-4.17157</v>
      </c>
      <c r="I24" s="1">
        <v>-2.2427100000000002</v>
      </c>
      <c r="J24">
        <f t="shared" si="5"/>
        <v>-9.2225583061799829E-2</v>
      </c>
      <c r="K24">
        <f t="shared" si="5"/>
        <v>-0.28125190674642003</v>
      </c>
      <c r="L24" s="2">
        <f t="shared" si="5"/>
        <v>0.36313525610297009</v>
      </c>
      <c r="M24">
        <f t="shared" si="5"/>
        <v>0.17468463480309002</v>
      </c>
      <c r="N24">
        <f t="shared" si="2"/>
        <v>-0.19879285500512986</v>
      </c>
      <c r="O24">
        <f t="shared" si="4"/>
        <v>0.43432649492924025</v>
      </c>
      <c r="P24">
        <v>5.5923399925000004</v>
      </c>
      <c r="Q24">
        <v>61.229218359897402</v>
      </c>
      <c r="R24">
        <f t="shared" si="3"/>
        <v>63.549726599735948</v>
      </c>
    </row>
    <row r="25" spans="1:18" x14ac:dyDescent="0.3">
      <c r="A25">
        <v>24</v>
      </c>
      <c r="B25">
        <v>-5.1310002999999993E-2</v>
      </c>
      <c r="C25">
        <v>-6.6590010999999949E-2</v>
      </c>
      <c r="D25">
        <v>-0.1060299945</v>
      </c>
      <c r="E25">
        <v>-9.8489999999999966E-2</v>
      </c>
      <c r="F25" s="1">
        <v>3.8379400000000001</v>
      </c>
      <c r="G25" s="1">
        <v>6.7478899999999999</v>
      </c>
      <c r="H25" s="1">
        <v>-4.17157</v>
      </c>
      <c r="I25" s="1">
        <v>-2.2427100000000002</v>
      </c>
      <c r="J25">
        <f t="shared" si="5"/>
        <v>-0.19692471291381997</v>
      </c>
      <c r="K25">
        <f t="shared" si="5"/>
        <v>-0.44934206932678966</v>
      </c>
      <c r="L25" s="2">
        <f t="shared" si="5"/>
        <v>0.44231154415636503</v>
      </c>
      <c r="M25">
        <f t="shared" si="5"/>
        <v>0.22088450789999994</v>
      </c>
      <c r="N25">
        <f t="shared" si="2"/>
        <v>-0.42538227434060971</v>
      </c>
      <c r="O25">
        <f t="shared" si="4"/>
        <v>0.38006452591872542</v>
      </c>
      <c r="P25">
        <v>5.5923399925000004</v>
      </c>
      <c r="Q25">
        <v>61.229218359897402</v>
      </c>
      <c r="R25">
        <f t="shared" si="3"/>
        <v>55.61023099990301</v>
      </c>
    </row>
    <row r="26" spans="1:18" x14ac:dyDescent="0.3">
      <c r="A26">
        <v>25</v>
      </c>
      <c r="B26">
        <v>-7.6609969000000055E-2</v>
      </c>
      <c r="C26">
        <v>-8.8940024000000006E-2</v>
      </c>
      <c r="D26">
        <v>-0.12094002999999999</v>
      </c>
      <c r="E26">
        <v>-0.11530000000000001</v>
      </c>
      <c r="F26" s="1">
        <v>3.8379400000000001</v>
      </c>
      <c r="G26" s="1">
        <v>6.7478899999999999</v>
      </c>
      <c r="H26" s="1">
        <v>-4.17157</v>
      </c>
      <c r="I26" s="1">
        <v>-2.2427100000000002</v>
      </c>
      <c r="J26">
        <f t="shared" si="5"/>
        <v>-0.29402446442386021</v>
      </c>
      <c r="K26">
        <f t="shared" si="5"/>
        <v>-0.60015749854936007</v>
      </c>
      <c r="L26" s="2">
        <f t="shared" si="5"/>
        <v>0.50450980094709996</v>
      </c>
      <c r="M26">
        <f t="shared" si="5"/>
        <v>0.25858446300000004</v>
      </c>
      <c r="N26">
        <f t="shared" si="2"/>
        <v>-0.63559749997322024</v>
      </c>
      <c r="O26">
        <f t="shared" si="4"/>
        <v>0.31122384513024476</v>
      </c>
      <c r="P26">
        <v>5.5923399925000004</v>
      </c>
      <c r="Q26">
        <v>61.229218359897402</v>
      </c>
      <c r="R26">
        <f t="shared" si="3"/>
        <v>45.537609379708336</v>
      </c>
    </row>
    <row r="27" spans="1:18" x14ac:dyDescent="0.3">
      <c r="A27">
        <v>26</v>
      </c>
      <c r="B27">
        <v>-9.8969996000000005E-2</v>
      </c>
      <c r="C27">
        <v>-0.10786998299999995</v>
      </c>
      <c r="D27">
        <v>-0.13119997850000001</v>
      </c>
      <c r="E27">
        <v>-0.12768000400000001</v>
      </c>
      <c r="F27" s="1">
        <v>3.8379400000000001</v>
      </c>
      <c r="G27" s="1">
        <v>6.7478899999999999</v>
      </c>
      <c r="H27" s="1">
        <v>-4.17157</v>
      </c>
      <c r="I27" s="1">
        <v>-2.2427100000000002</v>
      </c>
      <c r="J27">
        <f t="shared" si="5"/>
        <v>-0.37984090644824003</v>
      </c>
      <c r="K27">
        <f t="shared" si="5"/>
        <v>-0.72789477958586968</v>
      </c>
      <c r="L27" s="2">
        <f t="shared" si="5"/>
        <v>0.54730989431124499</v>
      </c>
      <c r="M27">
        <f t="shared" si="5"/>
        <v>0.28634922177084005</v>
      </c>
      <c r="N27">
        <f t="shared" si="2"/>
        <v>-0.82138646426326956</v>
      </c>
      <c r="O27">
        <f t="shared" si="4"/>
        <v>0.2304332309950754</v>
      </c>
      <c r="P27">
        <v>5.5923399925000004</v>
      </c>
      <c r="Q27">
        <v>61.229218359897402</v>
      </c>
      <c r="R27">
        <f t="shared" si="3"/>
        <v>33.716498993727306</v>
      </c>
    </row>
    <row r="28" spans="1:18" x14ac:dyDescent="0.3">
      <c r="A28">
        <v>27</v>
      </c>
      <c r="B28">
        <v>-0.11752998800000003</v>
      </c>
      <c r="C28">
        <v>-0.12265998099999997</v>
      </c>
      <c r="D28">
        <v>-0.13642001199999998</v>
      </c>
      <c r="E28">
        <v>-0.13515001500000001</v>
      </c>
      <c r="F28" s="1">
        <v>3.8379400000000001</v>
      </c>
      <c r="G28" s="1">
        <v>6.7478899999999999</v>
      </c>
      <c r="H28" s="1">
        <v>-4.17157</v>
      </c>
      <c r="I28" s="1">
        <v>-2.2427100000000002</v>
      </c>
      <c r="J28">
        <f t="shared" si="5"/>
        <v>-0.4510730421447201</v>
      </c>
      <c r="K28">
        <f t="shared" si="5"/>
        <v>-0.82769605919008982</v>
      </c>
      <c r="L28" s="2">
        <f t="shared" si="5"/>
        <v>0.56908562945883989</v>
      </c>
      <c r="M28">
        <f t="shared" si="5"/>
        <v>0.30310229014065004</v>
      </c>
      <c r="N28">
        <f t="shared" si="2"/>
        <v>-0.97566681119415988</v>
      </c>
      <c r="O28">
        <f t="shared" si="4"/>
        <v>0.14072871257592501</v>
      </c>
      <c r="P28">
        <v>5.5923399925000004</v>
      </c>
      <c r="Q28">
        <v>61.229218359897402</v>
      </c>
      <c r="R28">
        <f t="shared" si="3"/>
        <v>20.591125140523328</v>
      </c>
    </row>
    <row r="29" spans="1:18" x14ac:dyDescent="0.3">
      <c r="A29">
        <v>28</v>
      </c>
      <c r="B29">
        <v>-0.13156998199999997</v>
      </c>
      <c r="C29">
        <v>-0.13273000700000004</v>
      </c>
      <c r="D29">
        <v>-0.13639999149999998</v>
      </c>
      <c r="E29">
        <v>-0.13743001200000005</v>
      </c>
      <c r="F29" s="1">
        <v>3.8379400000000001</v>
      </c>
      <c r="G29" s="1">
        <v>6.7478899999999999</v>
      </c>
      <c r="H29" s="1">
        <v>-4.17157</v>
      </c>
      <c r="I29" s="1">
        <v>-2.2427100000000002</v>
      </c>
      <c r="J29">
        <f t="shared" si="5"/>
        <v>-0.50495769671707991</v>
      </c>
      <c r="K29">
        <f t="shared" si="5"/>
        <v>-0.89564748693523022</v>
      </c>
      <c r="L29" s="2">
        <f t="shared" si="5"/>
        <v>0.56900211254165489</v>
      </c>
      <c r="M29">
        <f t="shared" si="5"/>
        <v>0.30821566221252011</v>
      </c>
      <c r="N29">
        <f t="shared" si="2"/>
        <v>-1.0923895214397901</v>
      </c>
      <c r="O29">
        <f t="shared" si="4"/>
        <v>4.5698220560704716E-2</v>
      </c>
      <c r="P29">
        <v>5.5923399925000004</v>
      </c>
      <c r="Q29">
        <v>61.229218359897402</v>
      </c>
      <c r="R29">
        <f t="shared" si="3"/>
        <v>6.6864661876092759</v>
      </c>
    </row>
    <row r="30" spans="1:18" x14ac:dyDescent="0.3">
      <c r="A30">
        <v>29</v>
      </c>
      <c r="B30">
        <v>-0.14055001700000003</v>
      </c>
      <c r="C30">
        <v>-0.13770997499999998</v>
      </c>
      <c r="D30">
        <v>-0.13113999399999998</v>
      </c>
      <c r="E30">
        <v>-0.13442999100000003</v>
      </c>
      <c r="F30" s="1">
        <v>3.8379400000000001</v>
      </c>
      <c r="G30" s="1">
        <v>6.7478899999999999</v>
      </c>
      <c r="H30" s="1">
        <v>-4.17157</v>
      </c>
      <c r="I30" s="1">
        <v>-2.2427100000000002</v>
      </c>
      <c r="J30">
        <f t="shared" si="5"/>
        <v>-0.53942253224498016</v>
      </c>
      <c r="K30">
        <f t="shared" si="5"/>
        <v>-0.92925176320274994</v>
      </c>
      <c r="L30" s="2">
        <f t="shared" si="5"/>
        <v>0.54705966477057988</v>
      </c>
      <c r="M30">
        <f t="shared" si="5"/>
        <v>0.30148748511561008</v>
      </c>
      <c r="N30">
        <f t="shared" si="2"/>
        <v>-1.1671868103321201</v>
      </c>
      <c r="O30">
        <f t="shared" si="4"/>
        <v>-5.1125033019885358E-2</v>
      </c>
      <c r="P30">
        <v>5.5923399925000004</v>
      </c>
      <c r="Q30">
        <v>61.229218359897402</v>
      </c>
      <c r="R30">
        <f t="shared" si="3"/>
        <v>-7.4805058147454382</v>
      </c>
    </row>
    <row r="31" spans="1:18" x14ac:dyDescent="0.3">
      <c r="A31">
        <v>30</v>
      </c>
      <c r="B31">
        <v>-0.14412999199999998</v>
      </c>
      <c r="C31">
        <v>-0.13739001799999995</v>
      </c>
      <c r="D31">
        <v>-0.12082999900000001</v>
      </c>
      <c r="E31">
        <v>-0.12625998299999996</v>
      </c>
      <c r="F31" s="1">
        <v>3.8379400000000001</v>
      </c>
      <c r="G31" s="1">
        <v>6.7478899999999999</v>
      </c>
      <c r="H31" s="1">
        <v>-4.17157</v>
      </c>
      <c r="I31" s="1">
        <v>-2.2427100000000002</v>
      </c>
      <c r="J31">
        <f t="shared" si="5"/>
        <v>-0.55316226149647996</v>
      </c>
      <c r="K31">
        <f t="shared" si="5"/>
        <v>-0.92709272856201963</v>
      </c>
      <c r="L31" s="2">
        <f t="shared" si="5"/>
        <v>0.50405079892843008</v>
      </c>
      <c r="M31">
        <f t="shared" si="5"/>
        <v>0.28316452647392992</v>
      </c>
      <c r="N31">
        <f t="shared" si="2"/>
        <v>-1.1970904635845696</v>
      </c>
      <c r="O31">
        <f t="shared" si="4"/>
        <v>-0.14597999988555965</v>
      </c>
      <c r="P31">
        <v>5.5923399925000004</v>
      </c>
      <c r="Q31">
        <v>61.229218359897402</v>
      </c>
      <c r="R31">
        <f t="shared" si="3"/>
        <v>-21.359482302059867</v>
      </c>
    </row>
    <row r="32" spans="1:18" x14ac:dyDescent="0.3">
      <c r="A32">
        <v>31</v>
      </c>
      <c r="B32">
        <v>-0.14217996600000005</v>
      </c>
      <c r="C32">
        <v>-0.13178998200000003</v>
      </c>
      <c r="D32">
        <v>-0.105880022</v>
      </c>
      <c r="E32">
        <v>-0.11324000400000001</v>
      </c>
      <c r="F32" s="1">
        <v>3.8379400000000001</v>
      </c>
      <c r="G32" s="1">
        <v>6.7478899999999999</v>
      </c>
      <c r="H32" s="1">
        <v>-4.17157</v>
      </c>
      <c r="I32" s="1">
        <v>-2.2427100000000002</v>
      </c>
      <c r="J32">
        <f t="shared" si="5"/>
        <v>-0.54567817871004021</v>
      </c>
      <c r="K32">
        <f t="shared" si="5"/>
        <v>-0.88930430163798013</v>
      </c>
      <c r="L32" s="2">
        <f t="shared" si="5"/>
        <v>0.44168592337453999</v>
      </c>
      <c r="M32">
        <f t="shared" si="5"/>
        <v>0.25396448937084004</v>
      </c>
      <c r="N32">
        <f t="shared" si="2"/>
        <v>-1.1810179909771801</v>
      </c>
      <c r="O32">
        <f t="shared" si="4"/>
        <v>-0.23528126867421001</v>
      </c>
      <c r="P32">
        <v>5.5923399925000004</v>
      </c>
      <c r="Q32">
        <v>61.229218359897402</v>
      </c>
      <c r="R32">
        <f t="shared" si="3"/>
        <v>-34.425853529200488</v>
      </c>
    </row>
    <row r="33" spans="1:18" x14ac:dyDescent="0.3">
      <c r="A33">
        <v>32</v>
      </c>
      <c r="B33">
        <v>-0.134759992</v>
      </c>
      <c r="C33">
        <v>-0.12111997600000002</v>
      </c>
      <c r="D33">
        <v>-8.6870007500000013E-2</v>
      </c>
      <c r="E33">
        <v>-9.5870017999999946E-2</v>
      </c>
      <c r="F33" s="1">
        <v>3.8379400000000001</v>
      </c>
      <c r="G33" s="1">
        <v>6.7478899999999999</v>
      </c>
      <c r="H33" s="1">
        <v>-4.17157</v>
      </c>
      <c r="I33" s="1">
        <v>-2.2427100000000002</v>
      </c>
      <c r="J33">
        <f t="shared" si="5"/>
        <v>-0.51720076369648005</v>
      </c>
      <c r="K33">
        <f t="shared" si="5"/>
        <v>-0.81730427485064017</v>
      </c>
      <c r="L33" s="2">
        <f t="shared" si="5"/>
        <v>0.36238431718677505</v>
      </c>
      <c r="M33">
        <f t="shared" si="5"/>
        <v>0.2150086480687799</v>
      </c>
      <c r="N33">
        <f t="shared" si="2"/>
        <v>-1.1194963904783404</v>
      </c>
      <c r="O33">
        <f t="shared" si="4"/>
        <v>-0.31542614991702528</v>
      </c>
      <c r="P33">
        <v>5.5923399925000004</v>
      </c>
      <c r="Q33">
        <v>61.229218359897402</v>
      </c>
      <c r="R33">
        <f t="shared" si="3"/>
        <v>-46.152481655304079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DF09F-B162-4E47-A1CE-12555830BB6B}">
  <dimension ref="A1:S33"/>
  <sheetViews>
    <sheetView zoomScale="55" zoomScaleNormal="55" workbookViewId="0">
      <selection activeCell="N2" sqref="N2:P33"/>
    </sheetView>
  </sheetViews>
  <sheetFormatPr defaultRowHeight="14" x14ac:dyDescent="0.3"/>
  <sheetData>
    <row r="1" spans="1:19" x14ac:dyDescent="0.3">
      <c r="B1" t="s">
        <v>0</v>
      </c>
      <c r="C1" t="s">
        <v>1</v>
      </c>
      <c r="D1" t="s">
        <v>2</v>
      </c>
      <c r="E1" t="s">
        <v>3</v>
      </c>
    </row>
    <row r="2" spans="1:19" x14ac:dyDescent="0.3">
      <c r="A2">
        <v>1</v>
      </c>
      <c r="B2">
        <v>-0.14412999199999998</v>
      </c>
      <c r="C2">
        <v>-0.13739001799999995</v>
      </c>
      <c r="D2">
        <v>-0.12082999900000001</v>
      </c>
      <c r="E2">
        <v>-0.12625998299999996</v>
      </c>
      <c r="F2" s="1">
        <v>3.8379400000000001</v>
      </c>
      <c r="G2" s="1">
        <v>6.7478899999999999</v>
      </c>
      <c r="H2" s="1">
        <v>-4.17157</v>
      </c>
      <c r="I2" s="1">
        <v>-2.2427100000000002</v>
      </c>
      <c r="J2">
        <f t="shared" ref="J2:M4" si="0">B2*F2</f>
        <v>-0.55316226149647996</v>
      </c>
      <c r="K2">
        <f t="shared" si="0"/>
        <v>-0.92709272856201963</v>
      </c>
      <c r="L2" s="2">
        <f t="shared" si="0"/>
        <v>0.50405079892843008</v>
      </c>
      <c r="M2">
        <f t="shared" si="0"/>
        <v>0.28316452647392992</v>
      </c>
      <c r="N2">
        <f>J2+K2+M2</f>
        <v>-1.1970904635845696</v>
      </c>
      <c r="O2">
        <f>L33+L2</f>
        <v>1.0511104636990098</v>
      </c>
      <c r="P2">
        <f>N2+O2</f>
        <v>-0.14597999988555976</v>
      </c>
      <c r="Q2">
        <v>5.5923399925000004</v>
      </c>
      <c r="R2">
        <v>61.229218359897402</v>
      </c>
      <c r="S2">
        <f>O2*Q2*1602/R2</f>
        <v>153.7962417076958</v>
      </c>
    </row>
    <row r="3" spans="1:19" x14ac:dyDescent="0.3">
      <c r="A3">
        <v>2</v>
      </c>
      <c r="B3">
        <v>-0.14217996600000005</v>
      </c>
      <c r="C3">
        <v>-0.13178998200000003</v>
      </c>
      <c r="D3">
        <v>-0.105880022</v>
      </c>
      <c r="E3">
        <v>-0.11324000400000001</v>
      </c>
      <c r="F3" s="1">
        <v>3.8379400000000001</v>
      </c>
      <c r="G3" s="1">
        <v>6.7478899999999999</v>
      </c>
      <c r="H3" s="1">
        <v>-4.17157</v>
      </c>
      <c r="I3" s="1">
        <v>-2.2427100000000002</v>
      </c>
      <c r="J3">
        <f t="shared" si="0"/>
        <v>-0.54567817871004021</v>
      </c>
      <c r="K3">
        <f t="shared" si="0"/>
        <v>-0.88930430163798013</v>
      </c>
      <c r="L3" s="2">
        <f t="shared" si="0"/>
        <v>0.44168592337453999</v>
      </c>
      <c r="M3">
        <f t="shared" si="0"/>
        <v>0.25396448937084004</v>
      </c>
      <c r="N3">
        <f>J3+K3+M3</f>
        <v>-1.1810179909771801</v>
      </c>
      <c r="O3">
        <f>L2+L3</f>
        <v>0.94573672230297001</v>
      </c>
      <c r="P3">
        <f t="shared" ref="P3:P33" si="1">N3+O3</f>
        <v>-0.23528126867421006</v>
      </c>
      <c r="Q3">
        <v>5.5923399925000004</v>
      </c>
      <c r="R3">
        <v>61.229218359897402</v>
      </c>
      <c r="S3">
        <f>O3*Q3*1602/R3</f>
        <v>138.37818056086067</v>
      </c>
    </row>
    <row r="4" spans="1:19" x14ac:dyDescent="0.3">
      <c r="A4">
        <v>3</v>
      </c>
      <c r="B4">
        <v>-0.134759992</v>
      </c>
      <c r="C4">
        <v>-0.12111997600000002</v>
      </c>
      <c r="D4">
        <v>-8.6870007500000013E-2</v>
      </c>
      <c r="E4">
        <v>-9.5870017999999946E-2</v>
      </c>
      <c r="F4" s="1">
        <v>3.8379400000000001</v>
      </c>
      <c r="G4" s="1">
        <v>6.7478899999999999</v>
      </c>
      <c r="H4" s="1">
        <v>-4.17157</v>
      </c>
      <c r="I4" s="1">
        <v>-2.2427100000000002</v>
      </c>
      <c r="J4">
        <f t="shared" si="0"/>
        <v>-0.51720076369648005</v>
      </c>
      <c r="K4">
        <f t="shared" si="0"/>
        <v>-0.81730427485064017</v>
      </c>
      <c r="L4" s="2">
        <f t="shared" si="0"/>
        <v>0.36238431718677505</v>
      </c>
      <c r="M4">
        <f t="shared" si="0"/>
        <v>0.2150086480687799</v>
      </c>
      <c r="N4">
        <f>J4+K4+M4</f>
        <v>-1.1194963904783404</v>
      </c>
      <c r="O4">
        <f t="shared" ref="O4:O33" si="2">L3+L4</f>
        <v>0.80407024056131504</v>
      </c>
      <c r="P4">
        <f t="shared" si="1"/>
        <v>-0.31542614991702533</v>
      </c>
      <c r="Q4">
        <v>5.5923399925000004</v>
      </c>
      <c r="R4">
        <v>61.229218359897402</v>
      </c>
      <c r="S4">
        <f>O4*Q4*1602/R4</f>
        <v>117.64984303566457</v>
      </c>
    </row>
    <row r="5" spans="1:19" x14ac:dyDescent="0.3">
      <c r="A5">
        <v>4</v>
      </c>
      <c r="B5">
        <v>-0.12216001700000001</v>
      </c>
      <c r="C5">
        <v>-0.10580000299999998</v>
      </c>
      <c r="D5">
        <v>-6.4509987999999976E-2</v>
      </c>
      <c r="E5">
        <v>-7.4809997999999989E-2</v>
      </c>
      <c r="F5" s="1">
        <v>3.8379400000000001</v>
      </c>
      <c r="G5" s="1">
        <v>6.7478899999999999</v>
      </c>
      <c r="H5" s="1">
        <v>-4.17157</v>
      </c>
      <c r="I5" s="1">
        <v>-2.2427100000000002</v>
      </c>
      <c r="J5">
        <f>B5*F5</f>
        <v>-0.46884281564498004</v>
      </c>
      <c r="K5">
        <f t="shared" ref="K5:M20" si="3">C5*G5</f>
        <v>-0.71392678224366979</v>
      </c>
      <c r="L5" s="2">
        <f t="shared" si="3"/>
        <v>0.2691079306411599</v>
      </c>
      <c r="M5">
        <f>E5*I5</f>
        <v>0.16777713061457999</v>
      </c>
      <c r="N5">
        <f>J5+K5+M5</f>
        <v>-1.01499246727407</v>
      </c>
      <c r="O5">
        <f t="shared" si="2"/>
        <v>0.631492247827935</v>
      </c>
      <c r="P5">
        <f t="shared" si="1"/>
        <v>-0.38350021944613499</v>
      </c>
      <c r="Q5">
        <v>5.5923399925000004</v>
      </c>
      <c r="R5">
        <v>61.229218359897359</v>
      </c>
      <c r="S5">
        <f>O5*Q5*1602/R5</f>
        <v>92.398599136477017</v>
      </c>
    </row>
    <row r="6" spans="1:19" x14ac:dyDescent="0.3">
      <c r="A6">
        <v>5</v>
      </c>
      <c r="B6">
        <v>-0.10486999200000002</v>
      </c>
      <c r="C6">
        <v>-8.6420000000000052E-2</v>
      </c>
      <c r="D6">
        <v>-3.9680004000000019E-2</v>
      </c>
      <c r="E6">
        <v>-5.0880014999999945E-2</v>
      </c>
      <c r="F6" s="1">
        <v>3.8379400000000001</v>
      </c>
      <c r="G6" s="1">
        <v>6.7478899999999999</v>
      </c>
      <c r="H6" s="1">
        <v>-4.17157</v>
      </c>
      <c r="I6" s="1">
        <v>-2.2427100000000002</v>
      </c>
      <c r="J6">
        <f t="shared" ref="J6:M21" si="4">B6*F6</f>
        <v>-0.40248473709648008</v>
      </c>
      <c r="K6">
        <f t="shared" si="3"/>
        <v>-0.58315265380000036</v>
      </c>
      <c r="L6" s="2">
        <f t="shared" si="3"/>
        <v>0.16552791428628008</v>
      </c>
      <c r="M6">
        <f t="shared" si="3"/>
        <v>0.11410911844064989</v>
      </c>
      <c r="N6">
        <f t="shared" ref="N6:N33" si="5">J6+K6+M6</f>
        <v>-0.87152827245583053</v>
      </c>
      <c r="O6">
        <f t="shared" si="2"/>
        <v>0.43463584492744001</v>
      </c>
      <c r="P6">
        <f t="shared" si="1"/>
        <v>-0.43689242752839053</v>
      </c>
      <c r="Q6">
        <v>5.5923399925000004</v>
      </c>
      <c r="R6">
        <v>61.229218359897359</v>
      </c>
      <c r="S6">
        <f t="shared" ref="S6:S33" si="6">O6*Q6*1602/R6</f>
        <v>63.59499003182853</v>
      </c>
    </row>
    <row r="7" spans="1:19" x14ac:dyDescent="0.3">
      <c r="A7">
        <v>6</v>
      </c>
      <c r="B7">
        <v>-8.3540021999999992E-2</v>
      </c>
      <c r="C7">
        <v>-6.3710003999999987E-2</v>
      </c>
      <c r="D7">
        <v>-1.3320028999999983E-2</v>
      </c>
      <c r="E7">
        <v>-2.4989992000000016E-2</v>
      </c>
      <c r="F7" s="1">
        <v>3.8379400000000001</v>
      </c>
      <c r="G7" s="1">
        <v>6.7478899999999999</v>
      </c>
      <c r="H7" s="1">
        <v>-4.17157</v>
      </c>
      <c r="I7" s="1">
        <v>-2.2427100000000002</v>
      </c>
      <c r="J7">
        <f t="shared" si="4"/>
        <v>-0.32062159203467999</v>
      </c>
      <c r="K7">
        <f t="shared" si="3"/>
        <v>-0.4299080988915599</v>
      </c>
      <c r="L7" s="2">
        <f t="shared" si="3"/>
        <v>5.5565433375529931E-2</v>
      </c>
      <c r="M7">
        <f t="shared" si="3"/>
        <v>5.6045304958320039E-2</v>
      </c>
      <c r="N7">
        <f t="shared" si="5"/>
        <v>-0.69448438596791984</v>
      </c>
      <c r="O7">
        <f t="shared" si="2"/>
        <v>0.22109334766181002</v>
      </c>
      <c r="P7">
        <f t="shared" si="1"/>
        <v>-0.47339103830610985</v>
      </c>
      <c r="Q7">
        <v>5.5923399925000004</v>
      </c>
      <c r="R7">
        <v>61.229218359897359</v>
      </c>
      <c r="S7">
        <f t="shared" si="6"/>
        <v>32.349907180351678</v>
      </c>
    </row>
    <row r="8" spans="1:19" x14ac:dyDescent="0.3">
      <c r="A8">
        <v>7</v>
      </c>
      <c r="B8">
        <v>-5.900999899999998E-2</v>
      </c>
      <c r="C8">
        <v>-3.8559973000000025E-2</v>
      </c>
      <c r="D8">
        <v>1.3549998499999993E-2</v>
      </c>
      <c r="E8">
        <v>1.8500000000000001E-3</v>
      </c>
      <c r="F8" s="1">
        <v>3.8379400000000001</v>
      </c>
      <c r="G8" s="1">
        <v>6.7478899999999999</v>
      </c>
      <c r="H8" s="1">
        <v>-4.17157</v>
      </c>
      <c r="I8" s="1">
        <v>-2.2427100000000002</v>
      </c>
      <c r="J8">
        <f t="shared" si="4"/>
        <v>-0.22647683556205994</v>
      </c>
      <c r="K8">
        <f t="shared" si="3"/>
        <v>-0.26019845620697019</v>
      </c>
      <c r="L8" s="2">
        <f t="shared" si="3"/>
        <v>-5.652476724264497E-2</v>
      </c>
      <c r="M8">
        <f t="shared" si="3"/>
        <v>-4.1490135000000006E-3</v>
      </c>
      <c r="N8">
        <f t="shared" si="5"/>
        <v>-0.49082430526903015</v>
      </c>
      <c r="O8">
        <f t="shared" si="2"/>
        <v>-9.5933386711503921E-4</v>
      </c>
      <c r="P8">
        <f t="shared" si="1"/>
        <v>-0.4917836391361452</v>
      </c>
      <c r="Q8">
        <v>5.5923399925000004</v>
      </c>
      <c r="R8">
        <v>61.229218359897359</v>
      </c>
      <c r="S8">
        <f t="shared" si="6"/>
        <v>-0.14036768579582184</v>
      </c>
    </row>
    <row r="9" spans="1:19" x14ac:dyDescent="0.3">
      <c r="A9">
        <v>8</v>
      </c>
      <c r="B9">
        <v>-3.2209991999999965E-2</v>
      </c>
      <c r="C9">
        <v>-1.1920005000000011E-2</v>
      </c>
      <c r="D9">
        <v>3.9900005000000016E-2</v>
      </c>
      <c r="E9">
        <v>2.8630017999999979E-2</v>
      </c>
      <c r="F9" s="1">
        <v>3.8379400000000001</v>
      </c>
      <c r="G9" s="1">
        <v>6.7478899999999999</v>
      </c>
      <c r="H9" s="1">
        <v>-4.17157</v>
      </c>
      <c r="I9" s="1">
        <v>-2.2427100000000002</v>
      </c>
      <c r="J9">
        <f t="shared" si="4"/>
        <v>-0.12362001669647987</v>
      </c>
      <c r="K9">
        <f t="shared" si="3"/>
        <v>-8.0434882539450081E-2</v>
      </c>
      <c r="L9" s="2">
        <f t="shared" si="3"/>
        <v>-0.16644566385785006</v>
      </c>
      <c r="M9">
        <f t="shared" si="3"/>
        <v>-6.4208827668779958E-2</v>
      </c>
      <c r="N9">
        <f t="shared" si="5"/>
        <v>-0.2682637269047099</v>
      </c>
      <c r="O9">
        <f t="shared" si="2"/>
        <v>-0.22297043110049503</v>
      </c>
      <c r="P9">
        <f t="shared" si="1"/>
        <v>-0.49123415800520492</v>
      </c>
      <c r="Q9">
        <v>5.5923399925000004</v>
      </c>
      <c r="R9">
        <v>61.229218359897359</v>
      </c>
      <c r="S9">
        <f t="shared" si="6"/>
        <v>-32.624558026491648</v>
      </c>
    </row>
    <row r="10" spans="1:19" x14ac:dyDescent="0.3">
      <c r="A10">
        <v>9</v>
      </c>
      <c r="B10">
        <v>-4.1700009999999788E-3</v>
      </c>
      <c r="C10">
        <v>1.5169999999999999E-2</v>
      </c>
      <c r="D10">
        <v>6.4720020000000017E-2</v>
      </c>
      <c r="E10">
        <v>5.4299999000000002E-2</v>
      </c>
      <c r="F10" s="1">
        <v>3.8379400000000001</v>
      </c>
      <c r="G10" s="1">
        <v>6.7478899999999999</v>
      </c>
      <c r="H10" s="1">
        <v>-4.17157</v>
      </c>
      <c r="I10" s="1">
        <v>-2.2427100000000002</v>
      </c>
      <c r="J10">
        <f t="shared" si="4"/>
        <v>-1.6004213637939919E-2</v>
      </c>
      <c r="K10">
        <f t="shared" si="3"/>
        <v>0.1023654913</v>
      </c>
      <c r="L10" s="2">
        <f t="shared" si="3"/>
        <v>-0.2699840938314001</v>
      </c>
      <c r="M10">
        <f t="shared" si="3"/>
        <v>-0.12177915075729001</v>
      </c>
      <c r="N10">
        <f t="shared" si="5"/>
        <v>-3.5417873095229924E-2</v>
      </c>
      <c r="O10">
        <f t="shared" si="2"/>
        <v>-0.43642975768925019</v>
      </c>
      <c r="P10">
        <f t="shared" si="1"/>
        <v>-0.47184763078448011</v>
      </c>
      <c r="Q10">
        <v>5.5923399925000004</v>
      </c>
      <c r="R10">
        <v>61.229218359897402</v>
      </c>
      <c r="S10">
        <f t="shared" si="6"/>
        <v>-63.857471521877557</v>
      </c>
    </row>
    <row r="11" spans="1:19" x14ac:dyDescent="0.3">
      <c r="A11">
        <v>10</v>
      </c>
      <c r="B11">
        <v>2.4029999999999999E-2</v>
      </c>
      <c r="C11">
        <v>4.1679978000000006E-2</v>
      </c>
      <c r="D11">
        <v>8.7050021000000005E-2</v>
      </c>
      <c r="E11">
        <v>7.7889979000000054E-2</v>
      </c>
      <c r="F11" s="1">
        <v>3.8379400000000001</v>
      </c>
      <c r="G11" s="1">
        <v>6.7478899999999999</v>
      </c>
      <c r="H11" s="1">
        <v>-4.17157</v>
      </c>
      <c r="I11" s="1">
        <v>-2.2427100000000002</v>
      </c>
      <c r="J11">
        <f t="shared" si="4"/>
        <v>9.2225698199999998E-2</v>
      </c>
      <c r="K11">
        <f t="shared" si="3"/>
        <v>0.28125190674642003</v>
      </c>
      <c r="L11" s="2">
        <f t="shared" si="3"/>
        <v>-0.36313525610297004</v>
      </c>
      <c r="M11">
        <f t="shared" si="3"/>
        <v>-0.17468463480309013</v>
      </c>
      <c r="N11">
        <f t="shared" si="5"/>
        <v>0.19879297014332989</v>
      </c>
      <c r="O11">
        <f t="shared" si="2"/>
        <v>-0.63311934993437013</v>
      </c>
      <c r="P11">
        <f t="shared" si="1"/>
        <v>-0.43432637979104027</v>
      </c>
      <c r="Q11">
        <v>5.5923399925000004</v>
      </c>
      <c r="R11">
        <v>61.229218359897402</v>
      </c>
      <c r="S11">
        <f t="shared" si="6"/>
        <v>-92.6366732471311</v>
      </c>
    </row>
    <row r="12" spans="1:19" x14ac:dyDescent="0.3">
      <c r="A12">
        <v>11</v>
      </c>
      <c r="B12">
        <v>5.1310002999999993E-2</v>
      </c>
      <c r="C12">
        <v>6.6590003999999994E-2</v>
      </c>
      <c r="D12">
        <v>0.10602998699999999</v>
      </c>
      <c r="E12">
        <v>9.8489999999999994E-2</v>
      </c>
      <c r="F12" s="1">
        <v>3.8379400000000001</v>
      </c>
      <c r="G12" s="1">
        <v>6.7478899999999999</v>
      </c>
      <c r="H12" s="1">
        <v>-4.17157</v>
      </c>
      <c r="I12" s="1">
        <v>-2.2427100000000002</v>
      </c>
      <c r="J12">
        <f t="shared" si="4"/>
        <v>0.19692471291381997</v>
      </c>
      <c r="K12">
        <f t="shared" si="3"/>
        <v>0.44934202209155993</v>
      </c>
      <c r="L12" s="2">
        <f t="shared" si="3"/>
        <v>-0.44231151286958997</v>
      </c>
      <c r="M12">
        <f t="shared" si="3"/>
        <v>-0.2208845079</v>
      </c>
      <c r="N12">
        <f t="shared" si="5"/>
        <v>0.42538222710537987</v>
      </c>
      <c r="O12">
        <f t="shared" si="2"/>
        <v>-0.80544676897255996</v>
      </c>
      <c r="P12">
        <f t="shared" si="1"/>
        <v>-0.38006454186718008</v>
      </c>
      <c r="Q12">
        <v>5.5923399925000004</v>
      </c>
      <c r="R12">
        <v>61.229218359897402</v>
      </c>
      <c r="S12">
        <f t="shared" si="6"/>
        <v>-117.85125373755058</v>
      </c>
    </row>
    <row r="13" spans="1:19" x14ac:dyDescent="0.3">
      <c r="A13">
        <v>12</v>
      </c>
      <c r="B13">
        <v>7.6609998999999998E-2</v>
      </c>
      <c r="C13">
        <v>8.8940024000000006E-2</v>
      </c>
      <c r="D13">
        <v>0.12094002999999998</v>
      </c>
      <c r="E13">
        <v>0.11529999999999996</v>
      </c>
      <c r="F13" s="1">
        <v>3.8379400000000001</v>
      </c>
      <c r="G13" s="1">
        <v>6.7478899999999999</v>
      </c>
      <c r="H13" s="1">
        <v>-4.17157</v>
      </c>
      <c r="I13" s="1">
        <v>-2.2427100000000002</v>
      </c>
      <c r="J13">
        <f t="shared" si="4"/>
        <v>0.29402457956206002</v>
      </c>
      <c r="K13">
        <f t="shared" si="3"/>
        <v>0.60015749854936007</v>
      </c>
      <c r="L13" s="2">
        <f t="shared" si="3"/>
        <v>-0.50450980094709985</v>
      </c>
      <c r="M13">
        <f t="shared" si="3"/>
        <v>-0.25858446299999993</v>
      </c>
      <c r="N13">
        <f t="shared" si="5"/>
        <v>0.6355976151114201</v>
      </c>
      <c r="O13">
        <f t="shared" si="2"/>
        <v>-0.94682131381668988</v>
      </c>
      <c r="P13">
        <f t="shared" si="1"/>
        <v>-0.31122369870526978</v>
      </c>
      <c r="Q13">
        <v>5.5923399925000004</v>
      </c>
      <c r="R13">
        <v>61.229218359897402</v>
      </c>
      <c r="S13">
        <f t="shared" si="6"/>
        <v>-138.53687567841394</v>
      </c>
    </row>
    <row r="14" spans="1:19" x14ac:dyDescent="0.3">
      <c r="A14">
        <v>13</v>
      </c>
      <c r="B14">
        <v>9.8969996000000005E-2</v>
      </c>
      <c r="C14">
        <v>0.10786999799999999</v>
      </c>
      <c r="D14">
        <v>0.13120000099999998</v>
      </c>
      <c r="E14">
        <v>0.12768000400000001</v>
      </c>
      <c r="F14" s="1">
        <v>3.8379400000000001</v>
      </c>
      <c r="G14" s="1">
        <v>6.7478899999999999</v>
      </c>
      <c r="H14" s="1">
        <v>-4.17157</v>
      </c>
      <c r="I14" s="1">
        <v>-2.2427100000000002</v>
      </c>
      <c r="J14">
        <f t="shared" si="4"/>
        <v>0.37984090644824003</v>
      </c>
      <c r="K14">
        <f t="shared" si="3"/>
        <v>0.72789488080421993</v>
      </c>
      <c r="L14" s="2">
        <f t="shared" si="3"/>
        <v>-0.54730998817156995</v>
      </c>
      <c r="M14">
        <f t="shared" si="3"/>
        <v>-0.28634922177084005</v>
      </c>
      <c r="N14">
        <f t="shared" si="5"/>
        <v>0.82138656548161992</v>
      </c>
      <c r="O14">
        <f t="shared" si="2"/>
        <v>-1.0518197891186698</v>
      </c>
      <c r="P14">
        <f t="shared" si="1"/>
        <v>-0.23043322363704988</v>
      </c>
      <c r="Q14">
        <v>5.5923399925000004</v>
      </c>
      <c r="R14">
        <v>61.229218359897402</v>
      </c>
      <c r="S14">
        <f t="shared" si="6"/>
        <v>-153.90002869056678</v>
      </c>
    </row>
    <row r="15" spans="1:19" x14ac:dyDescent="0.3">
      <c r="A15">
        <v>14</v>
      </c>
      <c r="B15">
        <v>0.11753000299999999</v>
      </c>
      <c r="C15">
        <v>0.12265998099999997</v>
      </c>
      <c r="D15">
        <v>0.13642001199999998</v>
      </c>
      <c r="E15">
        <v>0.13515001500000001</v>
      </c>
      <c r="F15" s="1">
        <v>3.8379400000000001</v>
      </c>
      <c r="G15" s="1">
        <v>6.7478899999999999</v>
      </c>
      <c r="H15" s="1">
        <v>-4.17157</v>
      </c>
      <c r="I15" s="1">
        <v>-2.2427100000000002</v>
      </c>
      <c r="J15">
        <f t="shared" si="4"/>
        <v>0.45107309971381998</v>
      </c>
      <c r="K15">
        <f t="shared" si="3"/>
        <v>0.82769605919008982</v>
      </c>
      <c r="L15" s="2">
        <f t="shared" si="3"/>
        <v>-0.56908562945883989</v>
      </c>
      <c r="M15">
        <f t="shared" si="3"/>
        <v>-0.30310229014065004</v>
      </c>
      <c r="N15">
        <f t="shared" si="5"/>
        <v>0.97566686876325981</v>
      </c>
      <c r="O15">
        <f t="shared" si="2"/>
        <v>-1.1163956176304097</v>
      </c>
      <c r="P15">
        <f t="shared" si="1"/>
        <v>-0.14072874886714992</v>
      </c>
      <c r="Q15">
        <v>5.5923399925000004</v>
      </c>
      <c r="R15">
        <v>61.229218359897402</v>
      </c>
      <c r="S15">
        <f t="shared" si="6"/>
        <v>-163.34862621980821</v>
      </c>
    </row>
    <row r="16" spans="1:19" x14ac:dyDescent="0.3">
      <c r="A16">
        <v>15</v>
      </c>
      <c r="B16">
        <v>0.13156998200000003</v>
      </c>
      <c r="C16">
        <v>0.13273000700000001</v>
      </c>
      <c r="D16">
        <v>0.13639999899999999</v>
      </c>
      <c r="E16">
        <v>0.137429997</v>
      </c>
      <c r="F16" s="1">
        <v>3.8379400000000001</v>
      </c>
      <c r="G16" s="1">
        <v>6.7478899999999999</v>
      </c>
      <c r="H16" s="1">
        <v>-4.17157</v>
      </c>
      <c r="I16" s="1">
        <v>-2.2427100000000002</v>
      </c>
      <c r="J16">
        <f t="shared" si="4"/>
        <v>0.50495769671708013</v>
      </c>
      <c r="K16">
        <f t="shared" si="3"/>
        <v>0.89564748693523011</v>
      </c>
      <c r="L16" s="2">
        <f t="shared" si="3"/>
        <v>-0.56900214382842995</v>
      </c>
      <c r="M16">
        <f t="shared" si="3"/>
        <v>-0.30821562857187002</v>
      </c>
      <c r="N16">
        <f t="shared" si="5"/>
        <v>1.0923895550804403</v>
      </c>
      <c r="O16">
        <f t="shared" si="2"/>
        <v>-1.1380877732872698</v>
      </c>
      <c r="P16">
        <f t="shared" si="1"/>
        <v>-4.5698218206829511E-2</v>
      </c>
      <c r="Q16">
        <v>5.5923399925000004</v>
      </c>
      <c r="R16">
        <v>61.229218359897402</v>
      </c>
      <c r="S16">
        <f t="shared" si="6"/>
        <v>-166.52257618014153</v>
      </c>
    </row>
    <row r="17" spans="1:19" x14ac:dyDescent="0.3">
      <c r="A17">
        <v>16</v>
      </c>
      <c r="B17">
        <v>0.14055000200000001</v>
      </c>
      <c r="C17">
        <v>0.13770997500000004</v>
      </c>
      <c r="D17">
        <v>0.13113999399999998</v>
      </c>
      <c r="E17">
        <v>0.13442999099999997</v>
      </c>
      <c r="F17" s="1">
        <v>3.8379400000000001</v>
      </c>
      <c r="G17" s="1">
        <v>6.7478899999999999</v>
      </c>
      <c r="H17" s="1">
        <v>-4.17157</v>
      </c>
      <c r="I17" s="1">
        <v>-2.2427100000000002</v>
      </c>
      <c r="J17">
        <f t="shared" si="4"/>
        <v>0.53942247467588</v>
      </c>
      <c r="K17">
        <f t="shared" si="3"/>
        <v>0.92925176320275027</v>
      </c>
      <c r="L17" s="2">
        <f t="shared" si="3"/>
        <v>-0.54705966477057988</v>
      </c>
      <c r="M17">
        <f t="shared" si="3"/>
        <v>-0.30148748511560997</v>
      </c>
      <c r="N17">
        <f t="shared" si="5"/>
        <v>1.1671867527630202</v>
      </c>
      <c r="O17">
        <f t="shared" si="2"/>
        <v>-1.1160618085990097</v>
      </c>
      <c r="P17">
        <f t="shared" si="1"/>
        <v>5.1124944164010477E-2</v>
      </c>
      <c r="Q17">
        <v>5.5923399925000004</v>
      </c>
      <c r="R17">
        <v>61.229218359897402</v>
      </c>
      <c r="S17">
        <f t="shared" si="6"/>
        <v>-163.29978399413315</v>
      </c>
    </row>
    <row r="18" spans="1:19" x14ac:dyDescent="0.3">
      <c r="A18">
        <v>17</v>
      </c>
      <c r="B18">
        <v>0.14412999199999998</v>
      </c>
      <c r="C18">
        <v>0.13739000300000001</v>
      </c>
      <c r="D18">
        <v>0.12082999900000002</v>
      </c>
      <c r="E18">
        <v>0.12625999700000001</v>
      </c>
      <c r="F18" s="1">
        <v>3.8379400000000001</v>
      </c>
      <c r="G18" s="1">
        <v>6.7478899999999999</v>
      </c>
      <c r="H18" s="1">
        <v>-4.17157</v>
      </c>
      <c r="I18" s="1">
        <v>-2.2427100000000002</v>
      </c>
      <c r="J18">
        <f t="shared" si="4"/>
        <v>0.55316226149647996</v>
      </c>
      <c r="K18">
        <f t="shared" si="3"/>
        <v>0.92709262734367004</v>
      </c>
      <c r="L18" s="2">
        <f t="shared" si="3"/>
        <v>-0.50405079892843008</v>
      </c>
      <c r="M18">
        <f t="shared" si="3"/>
        <v>-0.28316455787187006</v>
      </c>
      <c r="N18">
        <f t="shared" si="5"/>
        <v>1.1970903309682799</v>
      </c>
      <c r="O18">
        <f t="shared" si="2"/>
        <v>-1.0511104636990098</v>
      </c>
      <c r="P18">
        <f t="shared" si="1"/>
        <v>0.14597986726927004</v>
      </c>
      <c r="Q18">
        <v>5.5923399925000004</v>
      </c>
      <c r="R18">
        <v>61.229218359897402</v>
      </c>
      <c r="S18">
        <f t="shared" si="6"/>
        <v>-153.7962417076958</v>
      </c>
    </row>
    <row r="19" spans="1:19" x14ac:dyDescent="0.3">
      <c r="A19">
        <v>18</v>
      </c>
      <c r="B19">
        <v>0.142179996</v>
      </c>
      <c r="C19">
        <v>0.13178998200000003</v>
      </c>
      <c r="D19">
        <v>0.10588002200000002</v>
      </c>
      <c r="E19">
        <v>0.11324000400000001</v>
      </c>
      <c r="F19" s="1">
        <v>3.8379400000000001</v>
      </c>
      <c r="G19" s="1">
        <v>6.7478899999999999</v>
      </c>
      <c r="H19" s="1">
        <v>-4.17157</v>
      </c>
      <c r="I19" s="1">
        <v>-2.2427100000000002</v>
      </c>
      <c r="J19">
        <f t="shared" si="4"/>
        <v>0.54567829384824007</v>
      </c>
      <c r="K19">
        <f t="shared" si="3"/>
        <v>0.88930430163798013</v>
      </c>
      <c r="L19" s="2">
        <f t="shared" si="3"/>
        <v>-0.4416859233745401</v>
      </c>
      <c r="M19">
        <f t="shared" si="3"/>
        <v>-0.25396448937084004</v>
      </c>
      <c r="N19">
        <f t="shared" si="5"/>
        <v>1.1810181061153799</v>
      </c>
      <c r="O19">
        <f t="shared" si="2"/>
        <v>-0.94573672230297023</v>
      </c>
      <c r="P19">
        <f t="shared" si="1"/>
        <v>0.23528138381240971</v>
      </c>
      <c r="Q19">
        <v>5.5923399925000004</v>
      </c>
      <c r="R19">
        <v>61.229218359897402</v>
      </c>
      <c r="S19">
        <f t="shared" si="6"/>
        <v>-138.3781805608607</v>
      </c>
    </row>
    <row r="20" spans="1:19" x14ac:dyDescent="0.3">
      <c r="A20">
        <v>19</v>
      </c>
      <c r="B20">
        <v>0.13476002200000003</v>
      </c>
      <c r="C20">
        <v>0.12111999800000001</v>
      </c>
      <c r="D20">
        <v>8.6870015000000023E-2</v>
      </c>
      <c r="E20">
        <v>9.5870002999999995E-2</v>
      </c>
      <c r="F20" s="1">
        <v>3.8379400000000001</v>
      </c>
      <c r="G20" s="1">
        <v>6.7478899999999999</v>
      </c>
      <c r="H20" s="1">
        <v>-4.17157</v>
      </c>
      <c r="I20" s="1">
        <v>-2.2427100000000002</v>
      </c>
      <c r="J20">
        <f t="shared" si="4"/>
        <v>0.51720087883468013</v>
      </c>
      <c r="K20">
        <f t="shared" si="3"/>
        <v>0.81730442330422004</v>
      </c>
      <c r="L20" s="2">
        <f t="shared" si="3"/>
        <v>-0.36238434847355011</v>
      </c>
      <c r="M20">
        <f t="shared" si="3"/>
        <v>-0.21500861442813002</v>
      </c>
      <c r="N20">
        <f t="shared" si="5"/>
        <v>1.1194966877107702</v>
      </c>
      <c r="O20">
        <f t="shared" si="2"/>
        <v>-0.80407027184809021</v>
      </c>
      <c r="P20">
        <f t="shared" si="1"/>
        <v>0.31542641586267994</v>
      </c>
      <c r="Q20">
        <v>5.5923399925000004</v>
      </c>
      <c r="R20">
        <v>61.229218359897402</v>
      </c>
      <c r="S20">
        <f t="shared" si="6"/>
        <v>-117.64984761347881</v>
      </c>
    </row>
    <row r="21" spans="1:19" x14ac:dyDescent="0.3">
      <c r="A21">
        <v>20</v>
      </c>
      <c r="B21">
        <v>0.122160017</v>
      </c>
      <c r="C21">
        <v>0.10580003299999996</v>
      </c>
      <c r="D21">
        <v>6.450998799999999E-2</v>
      </c>
      <c r="E21">
        <v>7.4810028000000028E-2</v>
      </c>
      <c r="F21" s="1">
        <v>3.8379400000000001</v>
      </c>
      <c r="G21" s="1">
        <v>6.7478899999999999</v>
      </c>
      <c r="H21" s="1">
        <v>-4.17157</v>
      </c>
      <c r="I21" s="1">
        <v>-2.2427100000000002</v>
      </c>
      <c r="J21">
        <f t="shared" si="4"/>
        <v>0.46884281564497998</v>
      </c>
      <c r="K21">
        <f t="shared" si="4"/>
        <v>0.71392698468036975</v>
      </c>
      <c r="L21" s="2">
        <f t="shared" si="4"/>
        <v>-0.26910793064115995</v>
      </c>
      <c r="M21">
        <f t="shared" si="4"/>
        <v>-0.16777719789588008</v>
      </c>
      <c r="N21">
        <f t="shared" si="5"/>
        <v>1.0149926024294698</v>
      </c>
      <c r="O21">
        <f t="shared" si="2"/>
        <v>-0.63149227911471006</v>
      </c>
      <c r="P21">
        <f t="shared" si="1"/>
        <v>0.38350032331475969</v>
      </c>
      <c r="Q21">
        <v>5.5923399925000004</v>
      </c>
      <c r="R21">
        <v>61.229218359897402</v>
      </c>
      <c r="S21">
        <f t="shared" si="6"/>
        <v>-92.398603714291184</v>
      </c>
    </row>
    <row r="22" spans="1:19" x14ac:dyDescent="0.3">
      <c r="A22">
        <v>21</v>
      </c>
      <c r="B22">
        <v>0.10486996199999998</v>
      </c>
      <c r="C22">
        <v>8.6419999999999997E-2</v>
      </c>
      <c r="D22">
        <v>3.9680004000000019E-2</v>
      </c>
      <c r="E22">
        <v>5.0880000000000002E-2</v>
      </c>
      <c r="F22" s="1">
        <v>3.8379400000000001</v>
      </c>
      <c r="G22" s="1">
        <v>6.7478899999999999</v>
      </c>
      <c r="H22" s="1">
        <v>-4.17157</v>
      </c>
      <c r="I22" s="1">
        <v>-2.2427100000000002</v>
      </c>
      <c r="J22">
        <f t="shared" ref="J22:M33" si="7">B22*F22</f>
        <v>0.40248462195827994</v>
      </c>
      <c r="K22">
        <f t="shared" si="7"/>
        <v>0.58315265379999992</v>
      </c>
      <c r="L22" s="2">
        <f t="shared" si="7"/>
        <v>-0.16552791428628008</v>
      </c>
      <c r="M22">
        <f t="shared" si="7"/>
        <v>-0.11410908480000001</v>
      </c>
      <c r="N22">
        <f t="shared" si="5"/>
        <v>0.87152819095827982</v>
      </c>
      <c r="O22">
        <f t="shared" si="2"/>
        <v>-0.43463584492744001</v>
      </c>
      <c r="P22">
        <f t="shared" si="1"/>
        <v>0.43689234603083982</v>
      </c>
      <c r="Q22">
        <v>5.5923399925000004</v>
      </c>
      <c r="R22">
        <v>61.229218359897402</v>
      </c>
      <c r="S22">
        <f t="shared" si="6"/>
        <v>-63.594990031828488</v>
      </c>
    </row>
    <row r="23" spans="1:19" x14ac:dyDescent="0.3">
      <c r="A23">
        <v>22</v>
      </c>
      <c r="B23">
        <v>8.3540000000000003E-2</v>
      </c>
      <c r="C23">
        <v>6.3709974000000003E-2</v>
      </c>
      <c r="D23">
        <v>1.3320028999999983E-2</v>
      </c>
      <c r="E23">
        <v>2.4989963000000004E-2</v>
      </c>
      <c r="F23" s="1">
        <v>3.8379400000000001</v>
      </c>
      <c r="G23" s="1">
        <v>6.7478899999999999</v>
      </c>
      <c r="H23" s="1">
        <v>-4.17157</v>
      </c>
      <c r="I23" s="1">
        <v>-2.2427100000000002</v>
      </c>
      <c r="J23">
        <f t="shared" si="7"/>
        <v>0.32062150760000002</v>
      </c>
      <c r="K23">
        <f t="shared" si="7"/>
        <v>0.42990789645485999</v>
      </c>
      <c r="L23" s="2">
        <f t="shared" si="7"/>
        <v>-5.5565433375529931E-2</v>
      </c>
      <c r="M23">
        <f t="shared" si="7"/>
        <v>-5.6045239919730011E-2</v>
      </c>
      <c r="N23">
        <f t="shared" si="5"/>
        <v>0.69448416413513003</v>
      </c>
      <c r="O23">
        <f t="shared" si="2"/>
        <v>-0.22109334766181002</v>
      </c>
      <c r="P23">
        <f t="shared" si="1"/>
        <v>0.47339081647332004</v>
      </c>
      <c r="Q23">
        <v>5.5923399925000004</v>
      </c>
      <c r="R23">
        <v>61.229218359897402</v>
      </c>
      <c r="S23">
        <f t="shared" si="6"/>
        <v>-32.349907180351657</v>
      </c>
    </row>
    <row r="24" spans="1:19" x14ac:dyDescent="0.3">
      <c r="A24">
        <v>23</v>
      </c>
      <c r="B24">
        <v>5.9010028999999964E-2</v>
      </c>
      <c r="C24">
        <v>3.8559998999999998E-2</v>
      </c>
      <c r="D24">
        <v>-1.3550020499999982E-2</v>
      </c>
      <c r="E24">
        <v>-1.8500089999999858E-3</v>
      </c>
      <c r="F24" s="1">
        <v>3.8379400000000001</v>
      </c>
      <c r="G24" s="1">
        <v>6.7478899999999999</v>
      </c>
      <c r="H24" s="1">
        <v>-4.17157</v>
      </c>
      <c r="I24" s="1">
        <v>-2.2427100000000002</v>
      </c>
      <c r="J24">
        <f t="shared" si="7"/>
        <v>0.22647695070025986</v>
      </c>
      <c r="K24">
        <f t="shared" si="7"/>
        <v>0.26019863165210999</v>
      </c>
      <c r="L24" s="2">
        <f t="shared" si="7"/>
        <v>5.6524859017184924E-2</v>
      </c>
      <c r="M24">
        <f t="shared" si="7"/>
        <v>4.1490336843899682E-3</v>
      </c>
      <c r="N24">
        <f t="shared" si="5"/>
        <v>0.49082461603675981</v>
      </c>
      <c r="O24">
        <f t="shared" si="2"/>
        <v>9.5942564165499289E-4</v>
      </c>
      <c r="P24">
        <f t="shared" si="1"/>
        <v>0.49178404167841483</v>
      </c>
      <c r="Q24">
        <v>5.5923399925000004</v>
      </c>
      <c r="R24">
        <v>61.229218359897402</v>
      </c>
      <c r="S24">
        <f t="shared" si="6"/>
        <v>0.14038111405081186</v>
      </c>
    </row>
    <row r="25" spans="1:19" x14ac:dyDescent="0.3">
      <c r="A25">
        <v>24</v>
      </c>
      <c r="B25">
        <v>3.2210000000000003E-2</v>
      </c>
      <c r="C25">
        <v>1.1919974999999972E-2</v>
      </c>
      <c r="D25">
        <v>-3.9900005000000002E-2</v>
      </c>
      <c r="E25">
        <v>-2.8630017999999979E-2</v>
      </c>
      <c r="F25" s="1">
        <v>3.8379400000000001</v>
      </c>
      <c r="G25" s="1">
        <v>6.7478899999999999</v>
      </c>
      <c r="H25" s="1">
        <v>-4.17157</v>
      </c>
      <c r="I25" s="1">
        <v>-2.2427100000000002</v>
      </c>
      <c r="J25">
        <f t="shared" si="7"/>
        <v>0.12362004740000002</v>
      </c>
      <c r="K25">
        <f t="shared" si="7"/>
        <v>8.0434680102749803E-2</v>
      </c>
      <c r="L25" s="2">
        <f t="shared" si="7"/>
        <v>0.16644566385785001</v>
      </c>
      <c r="M25">
        <f t="shared" si="7"/>
        <v>6.4208827668779958E-2</v>
      </c>
      <c r="N25">
        <f t="shared" si="5"/>
        <v>0.26826355517152978</v>
      </c>
      <c r="O25">
        <f t="shared" si="2"/>
        <v>0.22297052287503494</v>
      </c>
      <c r="P25">
        <f t="shared" si="1"/>
        <v>0.49123407804656471</v>
      </c>
      <c r="Q25">
        <v>5.5923399925000004</v>
      </c>
      <c r="R25">
        <v>61.229218359897402</v>
      </c>
      <c r="S25">
        <f t="shared" si="6"/>
        <v>32.624571454746615</v>
      </c>
    </row>
    <row r="26" spans="1:19" x14ac:dyDescent="0.3">
      <c r="A26">
        <v>25</v>
      </c>
      <c r="B26">
        <v>4.1700009999999788E-3</v>
      </c>
      <c r="C26">
        <v>-1.5169977999999973E-2</v>
      </c>
      <c r="D26">
        <v>-6.4720020000000003E-2</v>
      </c>
      <c r="E26">
        <v>-5.4300009999999954E-2</v>
      </c>
      <c r="F26" s="1">
        <v>3.8379400000000001</v>
      </c>
      <c r="G26" s="1">
        <v>6.7478899999999999</v>
      </c>
      <c r="H26" s="1">
        <v>-4.17157</v>
      </c>
      <c r="I26" s="1">
        <v>-2.2427100000000002</v>
      </c>
      <c r="J26">
        <f t="shared" si="7"/>
        <v>1.6004213637939919E-2</v>
      </c>
      <c r="K26">
        <f t="shared" si="7"/>
        <v>-0.10236534284641982</v>
      </c>
      <c r="L26" s="2">
        <f t="shared" si="7"/>
        <v>0.26998409383140004</v>
      </c>
      <c r="M26">
        <f t="shared" si="7"/>
        <v>0.12177917542709991</v>
      </c>
      <c r="N26">
        <f t="shared" si="5"/>
        <v>3.5418046218620006E-2</v>
      </c>
      <c r="O26">
        <f t="shared" si="2"/>
        <v>0.43642975768925008</v>
      </c>
      <c r="P26">
        <f t="shared" si="1"/>
        <v>0.47184780390787007</v>
      </c>
      <c r="Q26">
        <v>5.5923399925000004</v>
      </c>
      <c r="R26">
        <v>61.229218359897402</v>
      </c>
      <c r="S26">
        <f t="shared" si="6"/>
        <v>63.857471521877542</v>
      </c>
    </row>
    <row r="27" spans="1:19" x14ac:dyDescent="0.3">
      <c r="A27">
        <v>26</v>
      </c>
      <c r="B27">
        <v>-2.4029969999999956E-2</v>
      </c>
      <c r="C27">
        <v>-4.1679978000000006E-2</v>
      </c>
      <c r="D27">
        <v>-8.7050021000000019E-2</v>
      </c>
      <c r="E27">
        <v>-7.7889978999999998E-2</v>
      </c>
      <c r="F27" s="1">
        <v>3.8379400000000001</v>
      </c>
      <c r="G27" s="1">
        <v>6.7478899999999999</v>
      </c>
      <c r="H27" s="1">
        <v>-4.17157</v>
      </c>
      <c r="I27" s="1">
        <v>-2.2427100000000002</v>
      </c>
      <c r="J27">
        <f t="shared" si="7"/>
        <v>-9.2225583061799829E-2</v>
      </c>
      <c r="K27">
        <f t="shared" si="7"/>
        <v>-0.28125190674642003</v>
      </c>
      <c r="L27" s="2">
        <f t="shared" si="7"/>
        <v>0.36313525610297009</v>
      </c>
      <c r="M27">
        <f t="shared" si="7"/>
        <v>0.17468463480309002</v>
      </c>
      <c r="N27">
        <f t="shared" si="5"/>
        <v>-0.19879285500512986</v>
      </c>
      <c r="O27">
        <f t="shared" si="2"/>
        <v>0.63311934993437013</v>
      </c>
      <c r="P27">
        <f t="shared" si="1"/>
        <v>0.43432649492924025</v>
      </c>
      <c r="Q27">
        <v>5.5923399925000004</v>
      </c>
      <c r="R27">
        <v>61.229218359897402</v>
      </c>
      <c r="S27">
        <f t="shared" si="6"/>
        <v>92.6366732471311</v>
      </c>
    </row>
    <row r="28" spans="1:19" x14ac:dyDescent="0.3">
      <c r="A28">
        <v>27</v>
      </c>
      <c r="B28">
        <v>-5.1310002999999993E-2</v>
      </c>
      <c r="C28">
        <v>-6.6590010999999949E-2</v>
      </c>
      <c r="D28">
        <v>-0.1060299945</v>
      </c>
      <c r="E28">
        <v>-9.8489999999999966E-2</v>
      </c>
      <c r="F28" s="1">
        <v>3.8379400000000001</v>
      </c>
      <c r="G28" s="1">
        <v>6.7478899999999999</v>
      </c>
      <c r="H28" s="1">
        <v>-4.17157</v>
      </c>
      <c r="I28" s="1">
        <v>-2.2427100000000002</v>
      </c>
      <c r="J28">
        <f t="shared" si="7"/>
        <v>-0.19692471291381997</v>
      </c>
      <c r="K28">
        <f t="shared" si="7"/>
        <v>-0.44934206932678966</v>
      </c>
      <c r="L28" s="2">
        <f t="shared" si="7"/>
        <v>0.44231154415636503</v>
      </c>
      <c r="M28">
        <f t="shared" si="7"/>
        <v>0.22088450789999994</v>
      </c>
      <c r="N28">
        <f t="shared" si="5"/>
        <v>-0.42538227434060971</v>
      </c>
      <c r="O28">
        <f t="shared" si="2"/>
        <v>0.80544680025933513</v>
      </c>
      <c r="P28">
        <f t="shared" si="1"/>
        <v>0.38006452591872542</v>
      </c>
      <c r="Q28">
        <v>5.5923399925000004</v>
      </c>
      <c r="R28">
        <v>61.229218359897402</v>
      </c>
      <c r="S28">
        <f t="shared" si="6"/>
        <v>117.8512583153648</v>
      </c>
    </row>
    <row r="29" spans="1:19" x14ac:dyDescent="0.3">
      <c r="A29">
        <v>28</v>
      </c>
      <c r="B29">
        <v>-7.6609969000000055E-2</v>
      </c>
      <c r="C29">
        <v>-8.8940024000000006E-2</v>
      </c>
      <c r="D29">
        <v>-0.12094002999999999</v>
      </c>
      <c r="E29">
        <v>-0.11530000000000001</v>
      </c>
      <c r="F29" s="1">
        <v>3.8379400000000001</v>
      </c>
      <c r="G29" s="1">
        <v>6.7478899999999999</v>
      </c>
      <c r="H29" s="1">
        <v>-4.17157</v>
      </c>
      <c r="I29" s="1">
        <v>-2.2427100000000002</v>
      </c>
      <c r="J29">
        <f t="shared" si="7"/>
        <v>-0.29402446442386021</v>
      </c>
      <c r="K29">
        <f t="shared" si="7"/>
        <v>-0.60015749854936007</v>
      </c>
      <c r="L29" s="2">
        <f t="shared" si="7"/>
        <v>0.50450980094709996</v>
      </c>
      <c r="M29">
        <f t="shared" si="7"/>
        <v>0.25858446300000004</v>
      </c>
      <c r="N29">
        <f t="shared" si="5"/>
        <v>-0.63559749997322024</v>
      </c>
      <c r="O29">
        <f t="shared" si="2"/>
        <v>0.94682134510346505</v>
      </c>
      <c r="P29">
        <f t="shared" si="1"/>
        <v>0.31122384513024481</v>
      </c>
      <c r="Q29">
        <v>5.5923399925000004</v>
      </c>
      <c r="R29">
        <v>61.229218359897402</v>
      </c>
      <c r="S29">
        <f t="shared" si="6"/>
        <v>138.53688025622816</v>
      </c>
    </row>
    <row r="30" spans="1:19" x14ac:dyDescent="0.3">
      <c r="A30">
        <v>29</v>
      </c>
      <c r="B30">
        <v>-9.8969996000000005E-2</v>
      </c>
      <c r="C30">
        <v>-0.10786998299999995</v>
      </c>
      <c r="D30">
        <v>-0.13119997850000001</v>
      </c>
      <c r="E30">
        <v>-0.12768000400000001</v>
      </c>
      <c r="F30" s="1">
        <v>3.8379400000000001</v>
      </c>
      <c r="G30" s="1">
        <v>6.7478899999999999</v>
      </c>
      <c r="H30" s="1">
        <v>-4.17157</v>
      </c>
      <c r="I30" s="1">
        <v>-2.2427100000000002</v>
      </c>
      <c r="J30">
        <f t="shared" si="7"/>
        <v>-0.37984090644824003</v>
      </c>
      <c r="K30">
        <f t="shared" si="7"/>
        <v>-0.72789477958586968</v>
      </c>
      <c r="L30" s="2">
        <f t="shared" si="7"/>
        <v>0.54730989431124499</v>
      </c>
      <c r="M30">
        <f t="shared" si="7"/>
        <v>0.28634922177084005</v>
      </c>
      <c r="N30">
        <f t="shared" si="5"/>
        <v>-0.82138646426326956</v>
      </c>
      <c r="O30">
        <f t="shared" si="2"/>
        <v>1.051819695258345</v>
      </c>
      <c r="P30">
        <f t="shared" si="1"/>
        <v>0.2304332309950754</v>
      </c>
      <c r="Q30">
        <v>5.5923399925000004</v>
      </c>
      <c r="R30">
        <v>61.229218359897402</v>
      </c>
      <c r="S30">
        <f t="shared" si="6"/>
        <v>153.9000149571242</v>
      </c>
    </row>
    <row r="31" spans="1:19" x14ac:dyDescent="0.3">
      <c r="A31">
        <v>30</v>
      </c>
      <c r="B31">
        <v>-0.11752998800000003</v>
      </c>
      <c r="C31">
        <v>-0.12265998099999997</v>
      </c>
      <c r="D31">
        <v>-0.13642001199999998</v>
      </c>
      <c r="E31">
        <v>-0.13515001500000001</v>
      </c>
      <c r="F31" s="1">
        <v>3.8379400000000001</v>
      </c>
      <c r="G31" s="1">
        <v>6.7478899999999999</v>
      </c>
      <c r="H31" s="1">
        <v>-4.17157</v>
      </c>
      <c r="I31" s="1">
        <v>-2.2427100000000002</v>
      </c>
      <c r="J31">
        <f t="shared" si="7"/>
        <v>-0.4510730421447201</v>
      </c>
      <c r="K31">
        <f t="shared" si="7"/>
        <v>-0.82769605919008982</v>
      </c>
      <c r="L31" s="2">
        <f t="shared" si="7"/>
        <v>0.56908562945883989</v>
      </c>
      <c r="M31">
        <f t="shared" si="7"/>
        <v>0.30310229014065004</v>
      </c>
      <c r="N31">
        <f t="shared" si="5"/>
        <v>-0.97566681119415988</v>
      </c>
      <c r="O31">
        <f t="shared" si="2"/>
        <v>1.1163955237700849</v>
      </c>
      <c r="P31">
        <f t="shared" si="1"/>
        <v>0.14072871257592501</v>
      </c>
      <c r="Q31">
        <v>5.5923399925000004</v>
      </c>
      <c r="R31">
        <v>61.229218359897402</v>
      </c>
      <c r="S31">
        <f t="shared" si="6"/>
        <v>163.34861248636562</v>
      </c>
    </row>
    <row r="32" spans="1:19" x14ac:dyDescent="0.3">
      <c r="A32">
        <v>31</v>
      </c>
      <c r="B32">
        <v>-0.13156998199999997</v>
      </c>
      <c r="C32">
        <v>-0.13273000700000004</v>
      </c>
      <c r="D32">
        <v>-0.13639999149999998</v>
      </c>
      <c r="E32">
        <v>-0.13743001200000005</v>
      </c>
      <c r="F32" s="1">
        <v>3.8379400000000001</v>
      </c>
      <c r="G32" s="1">
        <v>6.7478899999999999</v>
      </c>
      <c r="H32" s="1">
        <v>-4.17157</v>
      </c>
      <c r="I32" s="1">
        <v>-2.2427100000000002</v>
      </c>
      <c r="J32">
        <f t="shared" si="7"/>
        <v>-0.50495769671707991</v>
      </c>
      <c r="K32">
        <f t="shared" si="7"/>
        <v>-0.89564748693523022</v>
      </c>
      <c r="L32" s="2">
        <f t="shared" si="7"/>
        <v>0.56900211254165489</v>
      </c>
      <c r="M32">
        <f t="shared" si="7"/>
        <v>0.30821566221252011</v>
      </c>
      <c r="N32">
        <f t="shared" si="5"/>
        <v>-1.0923895214397901</v>
      </c>
      <c r="O32">
        <f t="shared" si="2"/>
        <v>1.1380877420004949</v>
      </c>
      <c r="P32">
        <f t="shared" si="1"/>
        <v>4.5698220560704828E-2</v>
      </c>
      <c r="Q32">
        <v>5.5923399925000004</v>
      </c>
      <c r="R32">
        <v>61.229218359897402</v>
      </c>
      <c r="S32">
        <f t="shared" si="6"/>
        <v>166.52257160232733</v>
      </c>
    </row>
    <row r="33" spans="1:19" x14ac:dyDescent="0.3">
      <c r="A33">
        <v>32</v>
      </c>
      <c r="B33">
        <v>-0.14055001700000003</v>
      </c>
      <c r="C33">
        <v>-0.13770997499999998</v>
      </c>
      <c r="D33">
        <v>-0.13113999399999998</v>
      </c>
      <c r="E33">
        <v>-0.13442999100000003</v>
      </c>
      <c r="F33" s="1">
        <v>3.8379400000000001</v>
      </c>
      <c r="G33" s="1">
        <v>6.7478899999999999</v>
      </c>
      <c r="H33" s="1">
        <v>-4.17157</v>
      </c>
      <c r="I33" s="1">
        <v>-2.2427100000000002</v>
      </c>
      <c r="J33">
        <f t="shared" si="7"/>
        <v>-0.53942253224498016</v>
      </c>
      <c r="K33">
        <f t="shared" si="7"/>
        <v>-0.92925176320274994</v>
      </c>
      <c r="L33" s="2">
        <f t="shared" si="7"/>
        <v>0.54705966477057988</v>
      </c>
      <c r="M33">
        <f t="shared" si="7"/>
        <v>0.30148748511561008</v>
      </c>
      <c r="N33">
        <f t="shared" si="5"/>
        <v>-1.1671868103321201</v>
      </c>
      <c r="O33">
        <f t="shared" si="2"/>
        <v>1.1160617773122348</v>
      </c>
      <c r="P33">
        <f t="shared" si="1"/>
        <v>-5.1125033019885358E-2</v>
      </c>
      <c r="Q33">
        <v>5.5923399925000004</v>
      </c>
      <c r="R33">
        <v>61.229218359897402</v>
      </c>
      <c r="S33">
        <f t="shared" si="6"/>
        <v>163.29977941631896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yajun zhang</cp:lastModifiedBy>
  <dcterms:created xsi:type="dcterms:W3CDTF">2015-06-05T18:19:34Z</dcterms:created>
  <dcterms:modified xsi:type="dcterms:W3CDTF">2025-10-02T16:25:48Z</dcterms:modified>
</cp:coreProperties>
</file>