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:\LZU\perovskite-domain\PbTiO3\strain\0.02\320\320\displacement-field\SM2-15\"/>
    </mc:Choice>
  </mc:AlternateContent>
  <xr:revisionPtr revIDLastSave="0" documentId="13_ncr:1_{8F8E2DC0-7902-42AB-AE2F-C659BC386DD8}" xr6:coauthVersionLast="47" xr6:coauthVersionMax="47" xr10:uidLastSave="{00000000-0000-0000-0000-000000000000}"/>
  <bookViews>
    <workbookView xWindow="-110" yWindow="-110" windowWidth="19420" windowHeight="10420" activeTab="7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3" i="8" l="1"/>
  <c r="L33" i="8"/>
  <c r="K33" i="8"/>
  <c r="J33" i="8"/>
  <c r="N33" i="8" s="1"/>
  <c r="O33" i="8" s="1"/>
  <c r="R33" i="8" s="1"/>
  <c r="M32" i="8"/>
  <c r="L32" i="8"/>
  <c r="K32" i="8"/>
  <c r="J32" i="8"/>
  <c r="N32" i="8" s="1"/>
  <c r="O32" i="8" s="1"/>
  <c r="R32" i="8" s="1"/>
  <c r="M31" i="8"/>
  <c r="L31" i="8"/>
  <c r="K31" i="8"/>
  <c r="J31" i="8"/>
  <c r="N31" i="8" s="1"/>
  <c r="O31" i="8" s="1"/>
  <c r="R31" i="8" s="1"/>
  <c r="M30" i="8"/>
  <c r="L30" i="8"/>
  <c r="K30" i="8"/>
  <c r="J30" i="8"/>
  <c r="N30" i="8" s="1"/>
  <c r="O30" i="8" s="1"/>
  <c r="R30" i="8" s="1"/>
  <c r="N29" i="8"/>
  <c r="O29" i="8" s="1"/>
  <c r="R29" i="8" s="1"/>
  <c r="M29" i="8"/>
  <c r="L29" i="8"/>
  <c r="K29" i="8"/>
  <c r="J29" i="8"/>
  <c r="M28" i="8"/>
  <c r="N28" i="8" s="1"/>
  <c r="O28" i="8" s="1"/>
  <c r="R28" i="8" s="1"/>
  <c r="L28" i="8"/>
  <c r="K28" i="8"/>
  <c r="J28" i="8"/>
  <c r="M27" i="8"/>
  <c r="L27" i="8"/>
  <c r="K27" i="8"/>
  <c r="N27" i="8" s="1"/>
  <c r="O27" i="8" s="1"/>
  <c r="R27" i="8" s="1"/>
  <c r="J27" i="8"/>
  <c r="M26" i="8"/>
  <c r="L26" i="8"/>
  <c r="K26" i="8"/>
  <c r="N26" i="8" s="1"/>
  <c r="O26" i="8" s="1"/>
  <c r="R26" i="8" s="1"/>
  <c r="J26" i="8"/>
  <c r="M25" i="8"/>
  <c r="L25" i="8"/>
  <c r="K25" i="8"/>
  <c r="J25" i="8"/>
  <c r="N25" i="8" s="1"/>
  <c r="O25" i="8" s="1"/>
  <c r="R25" i="8" s="1"/>
  <c r="M24" i="8"/>
  <c r="L24" i="8"/>
  <c r="K24" i="8"/>
  <c r="J24" i="8"/>
  <c r="N24" i="8" s="1"/>
  <c r="O24" i="8" s="1"/>
  <c r="R24" i="8" s="1"/>
  <c r="M23" i="8"/>
  <c r="L23" i="8"/>
  <c r="K23" i="8"/>
  <c r="J23" i="8"/>
  <c r="N23" i="8" s="1"/>
  <c r="O23" i="8" s="1"/>
  <c r="R23" i="8" s="1"/>
  <c r="M22" i="8"/>
  <c r="L22" i="8"/>
  <c r="K22" i="8"/>
  <c r="J22" i="8"/>
  <c r="N22" i="8" s="1"/>
  <c r="O22" i="8" s="1"/>
  <c r="R22" i="8" s="1"/>
  <c r="N21" i="8"/>
  <c r="O21" i="8" s="1"/>
  <c r="R21" i="8" s="1"/>
  <c r="M21" i="8"/>
  <c r="L21" i="8"/>
  <c r="K21" i="8"/>
  <c r="J21" i="8"/>
  <c r="M20" i="8"/>
  <c r="N20" i="8" s="1"/>
  <c r="O20" i="8" s="1"/>
  <c r="R20" i="8" s="1"/>
  <c r="L20" i="8"/>
  <c r="K20" i="8"/>
  <c r="J20" i="8"/>
  <c r="M19" i="8"/>
  <c r="L19" i="8"/>
  <c r="K19" i="8"/>
  <c r="N19" i="8" s="1"/>
  <c r="O19" i="8" s="1"/>
  <c r="R19" i="8" s="1"/>
  <c r="J19" i="8"/>
  <c r="M18" i="8"/>
  <c r="L18" i="8"/>
  <c r="K18" i="8"/>
  <c r="N18" i="8" s="1"/>
  <c r="O18" i="8" s="1"/>
  <c r="R18" i="8" s="1"/>
  <c r="J18" i="8"/>
  <c r="M17" i="8"/>
  <c r="L17" i="8"/>
  <c r="K17" i="8"/>
  <c r="J17" i="8"/>
  <c r="N17" i="8" s="1"/>
  <c r="O17" i="8" s="1"/>
  <c r="R17" i="8" s="1"/>
  <c r="M16" i="8"/>
  <c r="L16" i="8"/>
  <c r="K16" i="8"/>
  <c r="J16" i="8"/>
  <c r="N16" i="8" s="1"/>
  <c r="O16" i="8" s="1"/>
  <c r="R16" i="8" s="1"/>
  <c r="M15" i="8"/>
  <c r="L15" i="8"/>
  <c r="K15" i="8"/>
  <c r="J15" i="8"/>
  <c r="N15" i="8" s="1"/>
  <c r="O15" i="8" s="1"/>
  <c r="R15" i="8" s="1"/>
  <c r="M14" i="8"/>
  <c r="L14" i="8"/>
  <c r="K14" i="8"/>
  <c r="J14" i="8"/>
  <c r="N14" i="8" s="1"/>
  <c r="O14" i="8" s="1"/>
  <c r="R14" i="8" s="1"/>
  <c r="N13" i="8"/>
  <c r="O13" i="8" s="1"/>
  <c r="R13" i="8" s="1"/>
  <c r="M13" i="8"/>
  <c r="L13" i="8"/>
  <c r="K13" i="8"/>
  <c r="J13" i="8"/>
  <c r="M12" i="8"/>
  <c r="N12" i="8" s="1"/>
  <c r="O12" i="8" s="1"/>
  <c r="R12" i="8" s="1"/>
  <c r="L12" i="8"/>
  <c r="K12" i="8"/>
  <c r="J12" i="8"/>
  <c r="M11" i="8"/>
  <c r="L11" i="8"/>
  <c r="K11" i="8"/>
  <c r="N11" i="8" s="1"/>
  <c r="O11" i="8" s="1"/>
  <c r="R11" i="8" s="1"/>
  <c r="J11" i="8"/>
  <c r="M10" i="8"/>
  <c r="L10" i="8"/>
  <c r="K10" i="8"/>
  <c r="N10" i="8" s="1"/>
  <c r="O10" i="8" s="1"/>
  <c r="R10" i="8" s="1"/>
  <c r="J10" i="8"/>
  <c r="M9" i="8"/>
  <c r="L9" i="8"/>
  <c r="K9" i="8"/>
  <c r="J9" i="8"/>
  <c r="N9" i="8" s="1"/>
  <c r="O9" i="8" s="1"/>
  <c r="R9" i="8" s="1"/>
  <c r="M8" i="8"/>
  <c r="L8" i="8"/>
  <c r="K8" i="8"/>
  <c r="J8" i="8"/>
  <c r="N8" i="8" s="1"/>
  <c r="O8" i="8" s="1"/>
  <c r="R8" i="8" s="1"/>
  <c r="M7" i="8"/>
  <c r="L7" i="8"/>
  <c r="K7" i="8"/>
  <c r="J7" i="8"/>
  <c r="N7" i="8" s="1"/>
  <c r="O7" i="8" s="1"/>
  <c r="R7" i="8" s="1"/>
  <c r="M6" i="8"/>
  <c r="L6" i="8"/>
  <c r="K6" i="8"/>
  <c r="J6" i="8"/>
  <c r="N6" i="8" s="1"/>
  <c r="O6" i="8" s="1"/>
  <c r="R6" i="8" s="1"/>
  <c r="N5" i="8"/>
  <c r="O5" i="8" s="1"/>
  <c r="R5" i="8" s="1"/>
  <c r="M5" i="8"/>
  <c r="L5" i="8"/>
  <c r="K5" i="8"/>
  <c r="J5" i="8"/>
  <c r="M4" i="8"/>
  <c r="N4" i="8" s="1"/>
  <c r="O4" i="8" s="1"/>
  <c r="R4" i="8" s="1"/>
  <c r="L4" i="8"/>
  <c r="K4" i="8"/>
  <c r="J4" i="8"/>
  <c r="M3" i="8"/>
  <c r="L3" i="8"/>
  <c r="K3" i="8"/>
  <c r="N3" i="8" s="1"/>
  <c r="O3" i="8" s="1"/>
  <c r="R3" i="8" s="1"/>
  <c r="J3" i="8"/>
  <c r="M2" i="8"/>
  <c r="L2" i="8"/>
  <c r="K2" i="8"/>
  <c r="N2" i="8" s="1"/>
  <c r="O2" i="8" s="1"/>
  <c r="R2" i="8" s="1"/>
  <c r="J2" i="8"/>
  <c r="F33" i="7"/>
  <c r="G33" i="7" s="1"/>
  <c r="I33" i="7" s="1"/>
  <c r="G32" i="7"/>
  <c r="I32" i="7" s="1"/>
  <c r="F32" i="7"/>
  <c r="F31" i="7"/>
  <c r="G31" i="7" s="1"/>
  <c r="I31" i="7" s="1"/>
  <c r="F30" i="7"/>
  <c r="G30" i="7" s="1"/>
  <c r="I30" i="7" s="1"/>
  <c r="F29" i="7"/>
  <c r="G29" i="7" s="1"/>
  <c r="I29" i="7" s="1"/>
  <c r="F28" i="7"/>
  <c r="G28" i="7" s="1"/>
  <c r="I28" i="7" s="1"/>
  <c r="F27" i="7"/>
  <c r="G27" i="7" s="1"/>
  <c r="I27" i="7" s="1"/>
  <c r="F26" i="7"/>
  <c r="G26" i="7" s="1"/>
  <c r="I26" i="7" s="1"/>
  <c r="F25" i="7"/>
  <c r="G25" i="7" s="1"/>
  <c r="I25" i="7" s="1"/>
  <c r="G24" i="7"/>
  <c r="I24" i="7" s="1"/>
  <c r="F24" i="7"/>
  <c r="F23" i="7"/>
  <c r="G23" i="7" s="1"/>
  <c r="I23" i="7" s="1"/>
  <c r="F22" i="7"/>
  <c r="G22" i="7" s="1"/>
  <c r="I22" i="7" s="1"/>
  <c r="F21" i="7"/>
  <c r="G21" i="7" s="1"/>
  <c r="I21" i="7" s="1"/>
  <c r="F20" i="7"/>
  <c r="G20" i="7" s="1"/>
  <c r="I20" i="7" s="1"/>
  <c r="F19" i="7"/>
  <c r="G19" i="7" s="1"/>
  <c r="I19" i="7" s="1"/>
  <c r="F18" i="7"/>
  <c r="G18" i="7" s="1"/>
  <c r="I18" i="7" s="1"/>
  <c r="F17" i="7"/>
  <c r="G17" i="7" s="1"/>
  <c r="I17" i="7" s="1"/>
  <c r="G16" i="7"/>
  <c r="I16" i="7" s="1"/>
  <c r="F16" i="7"/>
  <c r="F15" i="7"/>
  <c r="G15" i="7" s="1"/>
  <c r="I15" i="7" s="1"/>
  <c r="F14" i="7"/>
  <c r="G14" i="7" s="1"/>
  <c r="I14" i="7" s="1"/>
  <c r="F13" i="7"/>
  <c r="G13" i="7" s="1"/>
  <c r="I13" i="7" s="1"/>
  <c r="F12" i="7"/>
  <c r="G12" i="7" s="1"/>
  <c r="I12" i="7" s="1"/>
  <c r="F11" i="7"/>
  <c r="G11" i="7" s="1"/>
  <c r="I11" i="7" s="1"/>
  <c r="F10" i="7"/>
  <c r="G10" i="7" s="1"/>
  <c r="I10" i="7" s="1"/>
  <c r="F9" i="7"/>
  <c r="G9" i="7" s="1"/>
  <c r="I9" i="7" s="1"/>
  <c r="G8" i="7"/>
  <c r="I8" i="7" s="1"/>
  <c r="F8" i="7"/>
  <c r="F7" i="7"/>
  <c r="G7" i="7" s="1"/>
  <c r="I7" i="7" s="1"/>
  <c r="F6" i="7"/>
  <c r="G6" i="7" s="1"/>
  <c r="I6" i="7" s="1"/>
  <c r="F5" i="7"/>
  <c r="G5" i="7" s="1"/>
  <c r="I5" i="7" s="1"/>
  <c r="F4" i="7"/>
  <c r="G4" i="7" s="1"/>
  <c r="I4" i="7" s="1"/>
  <c r="F3" i="7"/>
  <c r="G3" i="7" s="1"/>
  <c r="I3" i="7" s="1"/>
  <c r="F2" i="7"/>
  <c r="G2" i="7" s="1"/>
  <c r="I2" i="7" s="1"/>
  <c r="I18" i="6"/>
  <c r="I20" i="6"/>
  <c r="I16" i="6"/>
  <c r="I8" i="6"/>
  <c r="I6" i="6"/>
  <c r="I32" i="6"/>
  <c r="I24" i="6"/>
  <c r="I22" i="6"/>
  <c r="I4" i="6"/>
  <c r="I2" i="6"/>
  <c r="H32" i="6"/>
  <c r="I31" i="6"/>
  <c r="H31" i="6"/>
  <c r="I30" i="6"/>
  <c r="H30" i="6"/>
  <c r="I29" i="6"/>
  <c r="H29" i="6"/>
  <c r="I28" i="6"/>
  <c r="H28" i="6"/>
  <c r="I27" i="6"/>
  <c r="H27" i="6"/>
  <c r="I26" i="6"/>
  <c r="H26" i="6"/>
  <c r="I25" i="6"/>
  <c r="H25" i="6"/>
  <c r="H24" i="6"/>
  <c r="I23" i="6"/>
  <c r="H23" i="6"/>
  <c r="H22" i="6"/>
  <c r="I21" i="6"/>
  <c r="H21" i="6"/>
  <c r="H20" i="6"/>
  <c r="I19" i="6"/>
  <c r="H19" i="6"/>
  <c r="H18" i="6"/>
  <c r="I17" i="6"/>
  <c r="H17" i="6"/>
  <c r="H16" i="6"/>
  <c r="I15" i="6"/>
  <c r="H15" i="6"/>
  <c r="I14" i="6"/>
  <c r="H14" i="6"/>
  <c r="I13" i="6"/>
  <c r="H13" i="6"/>
  <c r="I12" i="6"/>
  <c r="H12" i="6"/>
  <c r="I11" i="6"/>
  <c r="H11" i="6"/>
  <c r="I10" i="6"/>
  <c r="H10" i="6"/>
  <c r="I9" i="6"/>
  <c r="H9" i="6"/>
  <c r="H8" i="6"/>
  <c r="I7" i="6"/>
  <c r="H7" i="6"/>
  <c r="H6" i="6"/>
  <c r="I5" i="6"/>
  <c r="H5" i="6"/>
  <c r="H4" i="6"/>
  <c r="I3" i="6"/>
  <c r="H3" i="6"/>
  <c r="H2" i="6"/>
  <c r="I1" i="6"/>
  <c r="H1" i="6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1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1" i="4"/>
  <c r="I32" i="5"/>
  <c r="H32" i="5"/>
  <c r="I31" i="5"/>
  <c r="H31" i="5"/>
  <c r="I30" i="5"/>
  <c r="H30" i="5"/>
  <c r="I29" i="5"/>
  <c r="H29" i="5"/>
  <c r="I28" i="5"/>
  <c r="H28" i="5"/>
  <c r="I27" i="5"/>
  <c r="H27" i="5"/>
  <c r="I26" i="5"/>
  <c r="H26" i="5"/>
  <c r="I25" i="5"/>
  <c r="H25" i="5"/>
  <c r="I24" i="5"/>
  <c r="H24" i="5"/>
  <c r="I23" i="5"/>
  <c r="H23" i="5"/>
  <c r="I22" i="5"/>
  <c r="H22" i="5"/>
  <c r="I21" i="5"/>
  <c r="H21" i="5"/>
  <c r="I20" i="5"/>
  <c r="H20" i="5"/>
  <c r="I19" i="5"/>
  <c r="H19" i="5"/>
  <c r="I18" i="5"/>
  <c r="H18" i="5"/>
  <c r="I17" i="5"/>
  <c r="H17" i="5"/>
  <c r="I16" i="5"/>
  <c r="H16" i="5"/>
  <c r="I15" i="5"/>
  <c r="H15" i="5"/>
  <c r="I14" i="5"/>
  <c r="H14" i="5"/>
  <c r="I13" i="5"/>
  <c r="H13" i="5"/>
  <c r="I12" i="5"/>
  <c r="H12" i="5"/>
  <c r="I11" i="5"/>
  <c r="H11" i="5"/>
  <c r="I10" i="5"/>
  <c r="H10" i="5"/>
  <c r="I9" i="5"/>
  <c r="H9" i="5"/>
  <c r="I8" i="5"/>
  <c r="H8" i="5"/>
  <c r="I7" i="5"/>
  <c r="H7" i="5"/>
  <c r="I6" i="5"/>
  <c r="H6" i="5"/>
  <c r="I5" i="5"/>
  <c r="H5" i="5"/>
  <c r="I4" i="5"/>
  <c r="H4" i="5"/>
  <c r="I3" i="5"/>
  <c r="H3" i="5"/>
  <c r="I2" i="5"/>
  <c r="H2" i="5"/>
  <c r="I1" i="5"/>
  <c r="H1" i="5"/>
  <c r="I32" i="4"/>
  <c r="H32" i="4"/>
  <c r="I31" i="4"/>
  <c r="H31" i="4"/>
  <c r="I30" i="4"/>
  <c r="H30" i="4"/>
  <c r="I29" i="4"/>
  <c r="H29" i="4"/>
  <c r="I28" i="4"/>
  <c r="H28" i="4"/>
  <c r="I27" i="4"/>
  <c r="H27" i="4"/>
  <c r="I26" i="4"/>
  <c r="H26" i="4"/>
  <c r="I25" i="4"/>
  <c r="H25" i="4"/>
  <c r="I24" i="4"/>
  <c r="H24" i="4"/>
  <c r="I23" i="4"/>
  <c r="H23" i="4"/>
  <c r="I22" i="4"/>
  <c r="H22" i="4"/>
  <c r="I21" i="4"/>
  <c r="H21" i="4"/>
  <c r="I20" i="4"/>
  <c r="H20" i="4"/>
  <c r="I19" i="4"/>
  <c r="H19" i="4"/>
  <c r="I18" i="4"/>
  <c r="H18" i="4"/>
  <c r="I17" i="4"/>
  <c r="H17" i="4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H4" i="4"/>
  <c r="I3" i="4"/>
  <c r="H3" i="4"/>
  <c r="I2" i="4"/>
  <c r="H2" i="4"/>
  <c r="I1" i="4"/>
  <c r="H1" i="4"/>
  <c r="I22" i="3"/>
  <c r="I24" i="3"/>
  <c r="I26" i="3"/>
  <c r="I32" i="3"/>
  <c r="I20" i="3"/>
  <c r="I18" i="3"/>
  <c r="I16" i="3"/>
  <c r="I10" i="3"/>
  <c r="I8" i="3"/>
  <c r="I6" i="3"/>
  <c r="I4" i="3"/>
  <c r="I2" i="3"/>
  <c r="H32" i="3"/>
  <c r="I31" i="3"/>
  <c r="H31" i="3"/>
  <c r="I30" i="3"/>
  <c r="H30" i="3"/>
  <c r="I29" i="3"/>
  <c r="H29" i="3"/>
  <c r="I28" i="3"/>
  <c r="H28" i="3"/>
  <c r="I27" i="3"/>
  <c r="H27" i="3"/>
  <c r="H26" i="3"/>
  <c r="I25" i="3"/>
  <c r="H25" i="3"/>
  <c r="H24" i="3"/>
  <c r="I23" i="3"/>
  <c r="H23" i="3"/>
  <c r="H22" i="3"/>
  <c r="I21" i="3"/>
  <c r="H21" i="3"/>
  <c r="H20" i="3"/>
  <c r="I19" i="3"/>
  <c r="H19" i="3"/>
  <c r="H18" i="3"/>
  <c r="I17" i="3"/>
  <c r="H17" i="3"/>
  <c r="H16" i="3"/>
  <c r="I15" i="3"/>
  <c r="H15" i="3"/>
  <c r="I14" i="3"/>
  <c r="H14" i="3"/>
  <c r="I13" i="3"/>
  <c r="H13" i="3"/>
  <c r="I12" i="3"/>
  <c r="H12" i="3"/>
  <c r="I11" i="3"/>
  <c r="H11" i="3"/>
  <c r="H10" i="3"/>
  <c r="I9" i="3"/>
  <c r="H9" i="3"/>
  <c r="H8" i="3"/>
  <c r="I7" i="3"/>
  <c r="H7" i="3"/>
  <c r="H6" i="3"/>
  <c r="I5" i="3"/>
  <c r="H5" i="3"/>
  <c r="H4" i="3"/>
  <c r="I3" i="3"/>
  <c r="H3" i="3"/>
  <c r="H2" i="3"/>
  <c r="I1" i="3"/>
  <c r="H1" i="3"/>
  <c r="I19" i="2"/>
  <c r="I17" i="2"/>
  <c r="I9" i="2"/>
  <c r="I7" i="2"/>
  <c r="I5" i="2"/>
  <c r="I25" i="2"/>
  <c r="I21" i="2"/>
  <c r="I23" i="2"/>
  <c r="I3" i="2"/>
  <c r="I1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H25" i="2"/>
  <c r="I24" i="2"/>
  <c r="H24" i="2"/>
  <c r="H23" i="2"/>
  <c r="I22" i="2"/>
  <c r="H22" i="2"/>
  <c r="H21" i="2"/>
  <c r="I20" i="2"/>
  <c r="H20" i="2"/>
  <c r="H19" i="2"/>
  <c r="I18" i="2"/>
  <c r="H18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H9" i="2"/>
  <c r="I8" i="2"/>
  <c r="H8" i="2"/>
  <c r="H7" i="2"/>
  <c r="I6" i="2"/>
  <c r="H6" i="2"/>
  <c r="H5" i="2"/>
  <c r="I4" i="2"/>
  <c r="H4" i="2"/>
  <c r="H3" i="2"/>
  <c r="I2" i="2"/>
  <c r="H2" i="2"/>
  <c r="H1" i="2"/>
</calcChain>
</file>

<file path=xl/sharedStrings.xml><?xml version="1.0" encoding="utf-8"?>
<sst xmlns="http://schemas.openxmlformats.org/spreadsheetml/2006/main" count="8" uniqueCount="4">
  <si>
    <t>Pb</t>
    <phoneticPr fontId="1" type="noConversion"/>
  </si>
  <si>
    <t>Ti</t>
    <phoneticPr fontId="1" type="noConversion"/>
  </si>
  <si>
    <t>O2</t>
    <phoneticPr fontId="1" type="noConversion"/>
  </si>
  <si>
    <t>O1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</si>
</sst>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LZU\perovskite-domain\PbTiO3\strain\0.02\320\320\displacement-field\SM2-11\SM2-11.xlsx" TargetMode="External"/><Relationship Id="rId1" Type="http://schemas.openxmlformats.org/officeDocument/2006/relationships/externalLinkPath" Target="/LZU/perovskite-domain/PbTiO3/strain/0.02/320/320/displacement-field/SM2-11/SM2-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  <sheetName val="Sheet4"/>
      <sheetName val="Sheet5"/>
      <sheetName val="Sheet6"/>
      <sheetName val="Sheet7"/>
      <sheetName val="Sheet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8.4999999999999995E-4</v>
          </cell>
          <cell r="C2">
            <v>4.1997400000004514E-4</v>
          </cell>
          <cell r="D2">
            <v>-5.1999099999999743E-4</v>
          </cell>
          <cell r="E2">
            <v>2.0027000000033546E-5</v>
          </cell>
        </row>
        <row r="3">
          <cell r="B3">
            <v>1.0600090000000284E-3</v>
          </cell>
          <cell r="C3">
            <v>3.2000000000000003E-4</v>
          </cell>
          <cell r="D3">
            <v>6.000700000000081E-5</v>
          </cell>
          <cell r="E3">
            <v>-7.200240000000413E-4</v>
          </cell>
        </row>
        <row r="4">
          <cell r="B4">
            <v>-2.0300149999999961E-3</v>
          </cell>
          <cell r="C4">
            <v>-7.7998600000001028E-4</v>
          </cell>
          <cell r="D4">
            <v>4.5001499999999806E-4</v>
          </cell>
          <cell r="E4">
            <v>7.7998599999995477E-4</v>
          </cell>
        </row>
        <row r="5">
          <cell r="B5">
            <v>1.1900070000000484E-3</v>
          </cell>
          <cell r="C5">
            <v>5.4000000000000001E-4</v>
          </cell>
          <cell r="D5">
            <v>-5.599934999999806E-4</v>
          </cell>
          <cell r="E5">
            <v>-1.5002500000005359E-4</v>
          </cell>
        </row>
        <row r="6">
          <cell r="B6">
            <v>6.9999999999999999E-4</v>
          </cell>
          <cell r="C6">
            <v>1.6999200000000769E-4</v>
          </cell>
          <cell r="D6">
            <v>1.6999200000000769E-4</v>
          </cell>
          <cell r="E6">
            <v>-6.2000800000000522E-4</v>
          </cell>
        </row>
        <row r="7">
          <cell r="B7">
            <v>-1.9699930000000032E-3</v>
          </cell>
          <cell r="C7">
            <v>-7.3999199999996712E-4</v>
          </cell>
          <cell r="D7">
            <v>3.7001100000000342E-4</v>
          </cell>
          <cell r="E7">
            <v>8.4000000000000003E-4</v>
          </cell>
        </row>
        <row r="8">
          <cell r="B8">
            <v>1.49E-3</v>
          </cell>
          <cell r="C8">
            <v>6.3997500000001484E-4</v>
          </cell>
          <cell r="D8">
            <v>-5.8001299999999034E-4</v>
          </cell>
          <cell r="E8">
            <v>-3.1000399999997486E-4</v>
          </cell>
        </row>
        <row r="9">
          <cell r="B9">
            <v>3.2001699999995026E-4</v>
          </cell>
          <cell r="C9">
            <v>2.0000000000000002E-5</v>
          </cell>
          <cell r="D9">
            <v>2.800079999999705E-4</v>
          </cell>
          <cell r="E9">
            <v>-4.9001000000004069E-4</v>
          </cell>
        </row>
        <row r="10">
          <cell r="B10">
            <v>-1.8399949999999832E-3</v>
          </cell>
          <cell r="C10">
            <v>-6.6998600000001129E-4</v>
          </cell>
          <cell r="D10">
            <v>2.7000899999998773E-4</v>
          </cell>
          <cell r="E10">
            <v>8.5997599999998453E-4</v>
          </cell>
        </row>
        <row r="11">
          <cell r="B11">
            <v>1.7300249999999684E-3</v>
          </cell>
          <cell r="C11">
            <v>7.2000000000000005E-4</v>
          </cell>
          <cell r="D11">
            <v>-5.8000549999999429E-4</v>
          </cell>
          <cell r="E11">
            <v>-4.6002899999997293E-4</v>
          </cell>
        </row>
        <row r="12">
          <cell r="B12">
            <v>-7.9988999999947019E-5</v>
          </cell>
          <cell r="C12">
            <v>-1.2999800000002004E-4</v>
          </cell>
          <cell r="D12">
            <v>3.7002600000002328E-4</v>
          </cell>
          <cell r="E12">
            <v>-3.4001500000002682E-4</v>
          </cell>
        </row>
        <row r="13">
          <cell r="B13">
            <v>-1.639991999999979E-3</v>
          </cell>
          <cell r="C13">
            <v>-5.6999899999998771E-4</v>
          </cell>
          <cell r="D13">
            <v>1.6999200000000769E-4</v>
          </cell>
          <cell r="E13">
            <v>8.4000000000000003E-4</v>
          </cell>
        </row>
        <row r="14">
          <cell r="B14">
            <v>1.9E-3</v>
          </cell>
          <cell r="C14">
            <v>7.6997300000003488E-4</v>
          </cell>
          <cell r="D14">
            <v>-5.5998599999998455E-4</v>
          </cell>
          <cell r="E14">
            <v>-5.8999700000000876E-4</v>
          </cell>
        </row>
        <row r="15">
          <cell r="B15">
            <v>-4.7001200000001964E-4</v>
          </cell>
          <cell r="C15">
            <v>-2.8002299999996261E-4</v>
          </cell>
          <cell r="D15">
            <v>4.499999999999782E-4</v>
          </cell>
          <cell r="E15">
            <v>-1.8000600000001032E-4</v>
          </cell>
        </row>
        <row r="16">
          <cell r="B16">
            <v>-1.3800259999999787E-3</v>
          </cell>
          <cell r="C16">
            <v>-4.4998499999998609E-4</v>
          </cell>
          <cell r="D16">
            <v>5.0007999999990282E-5</v>
          </cell>
          <cell r="E16">
            <v>8.0001399999996003E-4</v>
          </cell>
        </row>
        <row r="17">
          <cell r="B17">
            <v>1.99997399999996E-3</v>
          </cell>
          <cell r="C17">
            <v>7.9000000000000001E-4</v>
          </cell>
          <cell r="D17">
            <v>-5.0999200000000078E-4</v>
          </cell>
          <cell r="E17">
            <v>-6.9999700000000775E-4</v>
          </cell>
        </row>
        <row r="18">
          <cell r="B18">
            <v>-8.5002199999995032E-4</v>
          </cell>
          <cell r="C18">
            <v>-4.1997399999998963E-4</v>
          </cell>
          <cell r="D18">
            <v>5.1999099999999743E-4</v>
          </cell>
          <cell r="E18">
            <v>-2.0026999999978035E-5</v>
          </cell>
        </row>
        <row r="19">
          <cell r="B19">
            <v>-1.0600089999999729E-3</v>
          </cell>
          <cell r="C19">
            <v>-3.2001699999995026E-4</v>
          </cell>
          <cell r="D19">
            <v>-5.9984500000012653E-5</v>
          </cell>
          <cell r="E19">
            <v>7.2000000000000005E-4</v>
          </cell>
        </row>
        <row r="20">
          <cell r="B20">
            <v>2.0300000000000001E-3</v>
          </cell>
          <cell r="C20">
            <v>7.7998599999995477E-4</v>
          </cell>
          <cell r="D20">
            <v>-4.5001499999998418E-4</v>
          </cell>
          <cell r="E20">
            <v>-7.7998600000001028E-4</v>
          </cell>
        </row>
        <row r="21">
          <cell r="B21">
            <v>-1.1900069999999929E-3</v>
          </cell>
          <cell r="C21">
            <v>-5.4001800000003097E-4</v>
          </cell>
          <cell r="D21">
            <v>5.5998599999998455E-4</v>
          </cell>
          <cell r="E21">
            <v>1.4999999999999999E-4</v>
          </cell>
        </row>
        <row r="22">
          <cell r="B22">
            <v>-6.9999700000000775E-4</v>
          </cell>
          <cell r="C22">
            <v>-1.6999200000000769E-4</v>
          </cell>
          <cell r="D22">
            <v>-1.6999200000000769E-4</v>
          </cell>
          <cell r="E22">
            <v>6.2000799999994971E-4</v>
          </cell>
        </row>
        <row r="23">
          <cell r="B23">
            <v>1.9699930000000032E-3</v>
          </cell>
          <cell r="C23">
            <v>7.3999999999999999E-4</v>
          </cell>
          <cell r="D23">
            <v>-3.700110000000173E-4</v>
          </cell>
          <cell r="E23">
            <v>-8.4000799999994769E-4</v>
          </cell>
        </row>
        <row r="24">
          <cell r="B24">
            <v>-1.4899969999999652E-3</v>
          </cell>
          <cell r="C24">
            <v>-6.3997500000001484E-4</v>
          </cell>
          <cell r="D24">
            <v>5.8001299999999034E-4</v>
          </cell>
          <cell r="E24">
            <v>3.1000400000003037E-4</v>
          </cell>
        </row>
        <row r="25">
          <cell r="B25">
            <v>-3.2001700000000577E-4</v>
          </cell>
          <cell r="C25">
            <v>-2.0027000000033546E-5</v>
          </cell>
          <cell r="D25">
            <v>-2.8000799999998438E-4</v>
          </cell>
          <cell r="E25">
            <v>4.8999999999999998E-4</v>
          </cell>
        </row>
        <row r="26">
          <cell r="B26">
            <v>1.8400000000000001E-3</v>
          </cell>
          <cell r="C26">
            <v>6.6995599999997157E-4</v>
          </cell>
          <cell r="D26">
            <v>-2.7000899999997385E-4</v>
          </cell>
          <cell r="E26">
            <v>-8.5997599999998453E-4</v>
          </cell>
        </row>
        <row r="27">
          <cell r="B27">
            <v>-1.7300250000000239E-3</v>
          </cell>
          <cell r="C27">
            <v>-7.200240000000413E-4</v>
          </cell>
          <cell r="D27">
            <v>5.8001299999999034E-4</v>
          </cell>
          <cell r="E27">
            <v>4.6000000000000001E-4</v>
          </cell>
        </row>
        <row r="28">
          <cell r="B28">
            <v>8.0000000000000007E-5</v>
          </cell>
          <cell r="C28">
            <v>1.2999800000002004E-4</v>
          </cell>
          <cell r="D28">
            <v>-3.700260000000094E-4</v>
          </cell>
          <cell r="E28">
            <v>3.399849999999871E-4</v>
          </cell>
        </row>
        <row r="29">
          <cell r="B29">
            <v>1.6399620000000503E-3</v>
          </cell>
          <cell r="C29">
            <v>5.6999999999999998E-4</v>
          </cell>
          <cell r="D29">
            <v>-1.6999950000000374E-4</v>
          </cell>
          <cell r="E29">
            <v>-8.4000799999994769E-4</v>
          </cell>
        </row>
        <row r="30">
          <cell r="B30">
            <v>-1.9000169999999761E-3</v>
          </cell>
          <cell r="C30">
            <v>-7.6997299999997937E-4</v>
          </cell>
          <cell r="D30">
            <v>5.5998599999998455E-4</v>
          </cell>
          <cell r="E30">
            <v>5.8996700000002456E-4</v>
          </cell>
        </row>
        <row r="31">
          <cell r="B31">
            <v>4.7004200000000385E-4</v>
          </cell>
          <cell r="C31">
            <v>2.7999999999999998E-4</v>
          </cell>
          <cell r="D31">
            <v>-4.5000749999998813E-4</v>
          </cell>
          <cell r="E31">
            <v>1.8000000000000001E-4</v>
          </cell>
        </row>
        <row r="32">
          <cell r="B32">
            <v>1.3799999999999999E-3</v>
          </cell>
          <cell r="C32">
            <v>4.500149999999703E-4</v>
          </cell>
          <cell r="D32">
            <v>-5.0007999999990282E-5</v>
          </cell>
          <cell r="E32">
            <v>-8.0001400000001555E-4</v>
          </cell>
        </row>
        <row r="33">
          <cell r="B33">
            <v>-2.0000039999999997E-3</v>
          </cell>
          <cell r="C33">
            <v>-7.899999999999574E-4</v>
          </cell>
          <cell r="D33">
            <v>5.099919999999869E-4</v>
          </cell>
          <cell r="E33">
            <v>6.9999999999999999E-4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129" sqref="A129:C160"/>
    </sheetView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4302C-C90A-4685-8093-709C96608713}">
  <dimension ref="A1:I32"/>
  <sheetViews>
    <sheetView topLeftCell="A12" workbookViewId="0">
      <selection activeCell="I1" sqref="I1:I32"/>
    </sheetView>
  </sheetViews>
  <sheetFormatPr defaultRowHeight="14" x14ac:dyDescent="0.3"/>
  <sheetData>
    <row r="1" spans="1:9" x14ac:dyDescent="0.3">
      <c r="A1">
        <v>1.2E-4</v>
      </c>
      <c r="B1">
        <v>0.99908000200000002</v>
      </c>
      <c r="C1">
        <v>0</v>
      </c>
      <c r="E1">
        <v>1.2E-4</v>
      </c>
      <c r="F1">
        <v>0</v>
      </c>
      <c r="G1">
        <v>0</v>
      </c>
      <c r="H1">
        <f>A1-E1</f>
        <v>0</v>
      </c>
      <c r="I1">
        <f>B1-F1-1</f>
        <v>-9.1999799999997744E-4</v>
      </c>
    </row>
    <row r="2" spans="1:9" x14ac:dyDescent="0.3">
      <c r="A2">
        <v>3.1369999000000003E-2</v>
      </c>
      <c r="B2">
        <v>0.50069999700000001</v>
      </c>
      <c r="C2">
        <v>0</v>
      </c>
      <c r="E2">
        <v>3.1369999000000003E-2</v>
      </c>
      <c r="F2">
        <v>0.5</v>
      </c>
      <c r="G2">
        <v>0</v>
      </c>
      <c r="H2">
        <f t="shared" ref="H2:I32" si="0">A2-E2</f>
        <v>0</v>
      </c>
      <c r="I2">
        <f t="shared" si="0"/>
        <v>6.9999700000000775E-4</v>
      </c>
    </row>
    <row r="3" spans="1:9" x14ac:dyDescent="0.3">
      <c r="A3">
        <v>6.2619998999999996E-2</v>
      </c>
      <c r="B3">
        <v>0.99955999900000003</v>
      </c>
      <c r="C3">
        <v>0</v>
      </c>
      <c r="E3">
        <v>6.2619998999999996E-2</v>
      </c>
      <c r="F3">
        <v>0</v>
      </c>
      <c r="G3">
        <v>0</v>
      </c>
      <c r="H3">
        <f t="shared" si="0"/>
        <v>0</v>
      </c>
      <c r="I3">
        <f>B3-F3-1</f>
        <v>-4.4000099999996767E-4</v>
      </c>
    </row>
    <row r="4" spans="1:9" x14ac:dyDescent="0.3">
      <c r="A4">
        <v>9.3869998999999996E-2</v>
      </c>
      <c r="B4">
        <v>0.50016999200000001</v>
      </c>
      <c r="C4">
        <v>0</v>
      </c>
      <c r="E4">
        <v>9.3869998999999996E-2</v>
      </c>
      <c r="F4">
        <v>0.5</v>
      </c>
      <c r="G4">
        <v>0</v>
      </c>
      <c r="H4">
        <f t="shared" si="0"/>
        <v>0</v>
      </c>
      <c r="I4">
        <f t="shared" si="0"/>
        <v>1.6999200000000769E-4</v>
      </c>
    </row>
    <row r="5" spans="1:9" x14ac:dyDescent="0.3">
      <c r="A5">
        <v>0.12511999900000001</v>
      </c>
      <c r="B5">
        <v>1E-4</v>
      </c>
      <c r="C5">
        <v>0</v>
      </c>
      <c r="E5">
        <v>0.12511999900000001</v>
      </c>
      <c r="F5">
        <v>0</v>
      </c>
      <c r="G5">
        <v>0</v>
      </c>
      <c r="H5">
        <f t="shared" si="0"/>
        <v>0</v>
      </c>
      <c r="I5">
        <f>B5-F5</f>
        <v>1E-4</v>
      </c>
    </row>
    <row r="6" spans="1:9" x14ac:dyDescent="0.3">
      <c r="A6">
        <v>0.15636999900000001</v>
      </c>
      <c r="B6">
        <v>0.49963000400000002</v>
      </c>
      <c r="C6">
        <v>0</v>
      </c>
      <c r="E6">
        <v>0.15636999900000001</v>
      </c>
      <c r="F6">
        <v>0.5</v>
      </c>
      <c r="G6">
        <v>0</v>
      </c>
      <c r="H6">
        <f t="shared" si="0"/>
        <v>0</v>
      </c>
      <c r="I6">
        <f t="shared" si="0"/>
        <v>-3.6999599999998356E-4</v>
      </c>
    </row>
    <row r="7" spans="1:9" x14ac:dyDescent="0.3">
      <c r="A7">
        <v>0.18761999900000001</v>
      </c>
      <c r="B7">
        <v>6.3000000000000003E-4</v>
      </c>
      <c r="C7">
        <v>0</v>
      </c>
      <c r="E7">
        <v>0.18761999900000001</v>
      </c>
      <c r="F7">
        <v>0</v>
      </c>
      <c r="G7">
        <v>0</v>
      </c>
      <c r="H7">
        <f t="shared" si="0"/>
        <v>0</v>
      </c>
      <c r="I7">
        <f>B7-F7</f>
        <v>6.3000000000000003E-4</v>
      </c>
    </row>
    <row r="8" spans="1:9" x14ac:dyDescent="0.3">
      <c r="A8">
        <v>0.21886999900000001</v>
      </c>
      <c r="B8">
        <v>0.49913999399999998</v>
      </c>
      <c r="C8">
        <v>0</v>
      </c>
      <c r="E8">
        <v>0.21886999900000001</v>
      </c>
      <c r="F8">
        <v>0.5</v>
      </c>
      <c r="G8">
        <v>0</v>
      </c>
      <c r="H8">
        <f t="shared" si="0"/>
        <v>0</v>
      </c>
      <c r="I8">
        <f t="shared" si="0"/>
        <v>-8.6000600000002425E-4</v>
      </c>
    </row>
    <row r="9" spans="1:9" x14ac:dyDescent="0.3">
      <c r="A9">
        <v>0.250120014</v>
      </c>
      <c r="B9">
        <v>1.06E-3</v>
      </c>
      <c r="C9">
        <v>0</v>
      </c>
      <c r="E9">
        <v>0.250120014</v>
      </c>
      <c r="F9">
        <v>0</v>
      </c>
      <c r="G9">
        <v>0</v>
      </c>
      <c r="H9">
        <f t="shared" si="0"/>
        <v>0</v>
      </c>
      <c r="I9">
        <f>B9-F9</f>
        <v>1.06E-3</v>
      </c>
    </row>
    <row r="10" spans="1:9" x14ac:dyDescent="0.3">
      <c r="A10">
        <v>0.281370014</v>
      </c>
      <c r="B10">
        <v>0.49878001199999999</v>
      </c>
      <c r="C10">
        <v>0</v>
      </c>
      <c r="E10">
        <v>0.281370014</v>
      </c>
      <c r="F10">
        <v>0.5</v>
      </c>
      <c r="G10">
        <v>0</v>
      </c>
      <c r="H10">
        <f t="shared" si="0"/>
        <v>0</v>
      </c>
      <c r="I10">
        <f t="shared" si="0"/>
        <v>-1.2199880000000052E-3</v>
      </c>
    </row>
    <row r="11" spans="1:9" x14ac:dyDescent="0.3">
      <c r="A11">
        <v>0.312620014</v>
      </c>
      <c r="B11">
        <v>1.34E-3</v>
      </c>
      <c r="C11">
        <v>0</v>
      </c>
      <c r="E11">
        <v>0.312620014</v>
      </c>
      <c r="F11">
        <v>0</v>
      </c>
      <c r="G11">
        <v>0</v>
      </c>
      <c r="H11">
        <f t="shared" si="0"/>
        <v>0</v>
      </c>
      <c r="I11">
        <f t="shared" si="0"/>
        <v>1.34E-3</v>
      </c>
    </row>
    <row r="12" spans="1:9" x14ac:dyDescent="0.3">
      <c r="A12">
        <v>0.343870014</v>
      </c>
      <c r="B12">
        <v>0.49860000599999998</v>
      </c>
      <c r="C12">
        <v>0</v>
      </c>
      <c r="E12">
        <v>0.343870014</v>
      </c>
      <c r="F12">
        <v>0.5</v>
      </c>
      <c r="G12">
        <v>0</v>
      </c>
      <c r="H12">
        <f t="shared" si="0"/>
        <v>0</v>
      </c>
      <c r="I12">
        <f t="shared" si="0"/>
        <v>-1.3999940000000155E-3</v>
      </c>
    </row>
    <row r="13" spans="1:9" x14ac:dyDescent="0.3">
      <c r="A13">
        <v>0.375120014</v>
      </c>
      <c r="B13">
        <v>1.4E-3</v>
      </c>
      <c r="C13">
        <v>0</v>
      </c>
      <c r="E13">
        <v>0.375120014</v>
      </c>
      <c r="F13">
        <v>0</v>
      </c>
      <c r="G13">
        <v>0</v>
      </c>
      <c r="H13">
        <f t="shared" si="0"/>
        <v>0</v>
      </c>
      <c r="I13">
        <f t="shared" si="0"/>
        <v>1.4E-3</v>
      </c>
    </row>
    <row r="14" spans="1:9" x14ac:dyDescent="0.3">
      <c r="A14">
        <v>0.406370014</v>
      </c>
      <c r="B14">
        <v>0.498640001</v>
      </c>
      <c r="C14">
        <v>0</v>
      </c>
      <c r="E14">
        <v>0.406370014</v>
      </c>
      <c r="F14">
        <v>0.5</v>
      </c>
      <c r="G14">
        <v>0</v>
      </c>
      <c r="H14">
        <f t="shared" si="0"/>
        <v>0</v>
      </c>
      <c r="I14">
        <f t="shared" si="0"/>
        <v>-1.3599990000000006E-3</v>
      </c>
    </row>
    <row r="15" spans="1:9" x14ac:dyDescent="0.3">
      <c r="A15">
        <v>0.437620014</v>
      </c>
      <c r="B15">
        <v>1.2600000000000001E-3</v>
      </c>
      <c r="C15">
        <v>0</v>
      </c>
      <c r="E15">
        <v>0.437620014</v>
      </c>
      <c r="F15">
        <v>0</v>
      </c>
      <c r="G15">
        <v>0</v>
      </c>
      <c r="H15">
        <f t="shared" si="0"/>
        <v>0</v>
      </c>
      <c r="I15">
        <f t="shared" si="0"/>
        <v>1.2600000000000001E-3</v>
      </c>
    </row>
    <row r="16" spans="1:9" x14ac:dyDescent="0.3">
      <c r="A16">
        <v>0.468870014</v>
      </c>
      <c r="B16">
        <v>0.49888998299999998</v>
      </c>
      <c r="C16">
        <v>0</v>
      </c>
      <c r="E16">
        <v>0.468870014</v>
      </c>
      <c r="F16">
        <v>0.5</v>
      </c>
      <c r="G16">
        <v>0</v>
      </c>
      <c r="H16">
        <f t="shared" si="0"/>
        <v>0</v>
      </c>
      <c r="I16">
        <f t="shared" si="0"/>
        <v>-1.1100170000000187E-3</v>
      </c>
    </row>
    <row r="17" spans="1:9" x14ac:dyDescent="0.3">
      <c r="A17">
        <v>0.50011998400000002</v>
      </c>
      <c r="B17">
        <v>9.2000000000000003E-4</v>
      </c>
      <c r="C17">
        <v>0</v>
      </c>
      <c r="E17">
        <v>0.50011998400000002</v>
      </c>
      <c r="F17">
        <v>0</v>
      </c>
      <c r="G17">
        <v>0</v>
      </c>
      <c r="H17">
        <f t="shared" si="0"/>
        <v>0</v>
      </c>
      <c r="I17">
        <f>B17-F17</f>
        <v>9.2000000000000003E-4</v>
      </c>
    </row>
    <row r="18" spans="1:9" x14ac:dyDescent="0.3">
      <c r="A18">
        <v>0.53136998400000002</v>
      </c>
      <c r="B18">
        <v>0.49930000299999999</v>
      </c>
      <c r="C18">
        <v>0</v>
      </c>
      <c r="E18">
        <v>0.53136998400000002</v>
      </c>
      <c r="F18">
        <v>0.5</v>
      </c>
      <c r="G18">
        <v>0</v>
      </c>
      <c r="H18">
        <f t="shared" si="0"/>
        <v>0</v>
      </c>
      <c r="I18">
        <f t="shared" si="0"/>
        <v>-6.9999700000000775E-4</v>
      </c>
    </row>
    <row r="19" spans="1:9" x14ac:dyDescent="0.3">
      <c r="A19">
        <v>0.56261998400000002</v>
      </c>
      <c r="B19">
        <v>4.4000000000000002E-4</v>
      </c>
      <c r="C19">
        <v>0</v>
      </c>
      <c r="E19">
        <v>0.56261998400000002</v>
      </c>
      <c r="F19">
        <v>0</v>
      </c>
      <c r="G19">
        <v>0</v>
      </c>
      <c r="H19">
        <f t="shared" si="0"/>
        <v>0</v>
      </c>
      <c r="I19">
        <f>B19-F19</f>
        <v>4.4000000000000002E-4</v>
      </c>
    </row>
    <row r="20" spans="1:9" x14ac:dyDescent="0.3">
      <c r="A20">
        <v>0.59386998400000002</v>
      </c>
      <c r="B20">
        <v>0.49983000799999999</v>
      </c>
      <c r="C20">
        <v>0</v>
      </c>
      <c r="E20">
        <v>0.59386998400000002</v>
      </c>
      <c r="F20">
        <v>0.5</v>
      </c>
      <c r="G20">
        <v>0</v>
      </c>
      <c r="H20">
        <f t="shared" si="0"/>
        <v>0</v>
      </c>
      <c r="I20">
        <f t="shared" si="0"/>
        <v>-1.6999200000000769E-4</v>
      </c>
    </row>
    <row r="21" spans="1:9" x14ac:dyDescent="0.3">
      <c r="A21">
        <v>0.62511998400000002</v>
      </c>
      <c r="B21">
        <v>0.99989998300000005</v>
      </c>
      <c r="C21">
        <v>0</v>
      </c>
      <c r="E21">
        <v>0.62511998400000002</v>
      </c>
      <c r="F21">
        <v>0</v>
      </c>
      <c r="G21">
        <v>0</v>
      </c>
      <c r="H21">
        <f t="shared" si="0"/>
        <v>0</v>
      </c>
      <c r="I21">
        <f>B21-F21-1</f>
        <v>-1.0001699999995228E-4</v>
      </c>
    </row>
    <row r="22" spans="1:9" x14ac:dyDescent="0.3">
      <c r="A22">
        <v>0.65636998400000002</v>
      </c>
      <c r="B22">
        <v>0.50037002600000002</v>
      </c>
      <c r="C22">
        <v>0</v>
      </c>
      <c r="E22">
        <v>0.65636998400000002</v>
      </c>
      <c r="F22">
        <v>0.5</v>
      </c>
      <c r="G22">
        <v>0</v>
      </c>
      <c r="H22">
        <f t="shared" si="0"/>
        <v>0</v>
      </c>
      <c r="I22">
        <f t="shared" si="0"/>
        <v>3.7002600000002328E-4</v>
      </c>
    </row>
    <row r="23" spans="1:9" x14ac:dyDescent="0.3">
      <c r="A23">
        <v>0.68761998400000002</v>
      </c>
      <c r="B23">
        <v>0.99936997900000002</v>
      </c>
      <c r="C23">
        <v>0</v>
      </c>
      <c r="E23">
        <v>0.68761998400000002</v>
      </c>
      <c r="F23">
        <v>0</v>
      </c>
      <c r="G23">
        <v>0</v>
      </c>
      <c r="H23">
        <f t="shared" si="0"/>
        <v>0</v>
      </c>
      <c r="I23">
        <f>B23-F23-1</f>
        <v>-6.3002099999998062E-4</v>
      </c>
    </row>
    <row r="24" spans="1:9" x14ac:dyDescent="0.3">
      <c r="A24">
        <v>0.71886998400000002</v>
      </c>
      <c r="B24">
        <v>0.50085997599999998</v>
      </c>
      <c r="C24">
        <v>0</v>
      </c>
      <c r="E24">
        <v>0.71886998400000002</v>
      </c>
      <c r="F24">
        <v>0.5</v>
      </c>
      <c r="G24">
        <v>0</v>
      </c>
      <c r="H24">
        <f t="shared" si="0"/>
        <v>0</v>
      </c>
      <c r="I24">
        <f t="shared" si="0"/>
        <v>8.5997599999998453E-4</v>
      </c>
    </row>
    <row r="25" spans="1:9" x14ac:dyDescent="0.3">
      <c r="A25">
        <v>0.75012004399999999</v>
      </c>
      <c r="B25">
        <v>0.99893999099999997</v>
      </c>
      <c r="C25">
        <v>0</v>
      </c>
      <c r="E25">
        <v>0.75012004399999999</v>
      </c>
      <c r="F25">
        <v>0</v>
      </c>
      <c r="G25">
        <v>0</v>
      </c>
      <c r="H25">
        <f t="shared" si="0"/>
        <v>0</v>
      </c>
      <c r="I25">
        <f>B25-F25-1</f>
        <v>-1.0600090000000284E-3</v>
      </c>
    </row>
    <row r="26" spans="1:9" x14ac:dyDescent="0.3">
      <c r="A26">
        <v>0.78137004399999999</v>
      </c>
      <c r="B26">
        <v>0.50121998800000001</v>
      </c>
      <c r="C26">
        <v>0</v>
      </c>
      <c r="E26">
        <v>0.78137004399999999</v>
      </c>
      <c r="F26">
        <v>0.5</v>
      </c>
      <c r="G26">
        <v>0</v>
      </c>
      <c r="H26">
        <f t="shared" si="0"/>
        <v>0</v>
      </c>
      <c r="I26">
        <f t="shared" si="0"/>
        <v>1.2199880000000052E-3</v>
      </c>
    </row>
    <row r="27" spans="1:9" x14ac:dyDescent="0.3">
      <c r="A27">
        <v>0.81262004399999999</v>
      </c>
      <c r="B27">
        <v>0.99866002799999998</v>
      </c>
      <c r="C27">
        <v>0</v>
      </c>
      <c r="E27">
        <v>0.81262004399999999</v>
      </c>
      <c r="F27">
        <v>0</v>
      </c>
      <c r="G27">
        <v>0</v>
      </c>
      <c r="H27">
        <f t="shared" si="0"/>
        <v>0</v>
      </c>
      <c r="I27">
        <f>B27-F27-1</f>
        <v>-1.3399720000000226E-3</v>
      </c>
    </row>
    <row r="28" spans="1:9" x14ac:dyDescent="0.3">
      <c r="A28">
        <v>0.84387004399999999</v>
      </c>
      <c r="B28">
        <v>0.50139999400000002</v>
      </c>
      <c r="C28">
        <v>0</v>
      </c>
      <c r="E28">
        <v>0.84387004399999999</v>
      </c>
      <c r="F28">
        <v>0.5</v>
      </c>
      <c r="G28">
        <v>0</v>
      </c>
      <c r="H28">
        <f t="shared" si="0"/>
        <v>0</v>
      </c>
      <c r="I28">
        <f t="shared" si="0"/>
        <v>1.3999940000000155E-3</v>
      </c>
    </row>
    <row r="29" spans="1:9" x14ac:dyDescent="0.3">
      <c r="A29">
        <v>0.87512004399999999</v>
      </c>
      <c r="B29">
        <v>0.99860000599999998</v>
      </c>
      <c r="C29">
        <v>0</v>
      </c>
      <c r="E29">
        <v>0.87512004399999999</v>
      </c>
      <c r="F29">
        <v>0</v>
      </c>
      <c r="G29">
        <v>0</v>
      </c>
      <c r="H29">
        <f t="shared" si="0"/>
        <v>0</v>
      </c>
      <c r="I29">
        <f>B29-F29-1</f>
        <v>-1.3999940000000155E-3</v>
      </c>
    </row>
    <row r="30" spans="1:9" x14ac:dyDescent="0.3">
      <c r="A30">
        <v>0.90637004399999999</v>
      </c>
      <c r="B30">
        <v>0.50135999899999995</v>
      </c>
      <c r="C30">
        <v>0</v>
      </c>
      <c r="E30">
        <v>0.90637004399999999</v>
      </c>
      <c r="F30">
        <v>0.5</v>
      </c>
      <c r="G30">
        <v>0</v>
      </c>
      <c r="H30">
        <f t="shared" si="0"/>
        <v>0</v>
      </c>
      <c r="I30">
        <f t="shared" si="0"/>
        <v>1.3599989999999451E-3</v>
      </c>
    </row>
    <row r="31" spans="1:9" x14ac:dyDescent="0.3">
      <c r="A31">
        <v>0.93762004399999999</v>
      </c>
      <c r="B31">
        <v>0.99874001700000004</v>
      </c>
      <c r="C31">
        <v>0</v>
      </c>
      <c r="E31">
        <v>0.93762004399999999</v>
      </c>
      <c r="F31">
        <v>0</v>
      </c>
      <c r="G31">
        <v>0</v>
      </c>
      <c r="H31">
        <f t="shared" si="0"/>
        <v>0</v>
      </c>
      <c r="I31">
        <f>B31-F31-1</f>
        <v>-1.2599829999999645E-3</v>
      </c>
    </row>
    <row r="32" spans="1:9" x14ac:dyDescent="0.3">
      <c r="A32">
        <v>0.96886998400000002</v>
      </c>
      <c r="B32">
        <v>0.50111001700000002</v>
      </c>
      <c r="C32">
        <v>0</v>
      </c>
      <c r="E32">
        <v>0.96886998400000002</v>
      </c>
      <c r="F32">
        <v>0.5</v>
      </c>
      <c r="G32">
        <v>0</v>
      </c>
      <c r="H32">
        <f t="shared" si="0"/>
        <v>0</v>
      </c>
      <c r="I32">
        <f t="shared" si="0"/>
        <v>1.1100170000000187E-3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B561C-B603-4451-B7CE-FBA6518149FE}">
  <dimension ref="A1:I32"/>
  <sheetViews>
    <sheetView workbookViewId="0">
      <selection activeCell="I1" sqref="I1:I32"/>
    </sheetView>
  </sheetViews>
  <sheetFormatPr defaultRowHeight="14" x14ac:dyDescent="0.3"/>
  <cols>
    <col min="9" max="9" width="12.4140625" bestFit="1" customWidth="1"/>
  </cols>
  <sheetData>
    <row r="1" spans="1:9" x14ac:dyDescent="0.3">
      <c r="A1">
        <v>1.2E-4</v>
      </c>
      <c r="B1">
        <v>0.49965000199999998</v>
      </c>
      <c r="C1">
        <v>0.5</v>
      </c>
      <c r="E1">
        <v>1.2E-4</v>
      </c>
      <c r="F1">
        <v>0.5</v>
      </c>
      <c r="G1">
        <v>0.5</v>
      </c>
      <c r="H1">
        <f>A1-E1</f>
        <v>0</v>
      </c>
      <c r="I1">
        <f>B1-F1</f>
        <v>-3.4999800000001802E-4</v>
      </c>
    </row>
    <row r="2" spans="1:9" x14ac:dyDescent="0.3">
      <c r="A2">
        <v>3.1369999000000003E-2</v>
      </c>
      <c r="B2">
        <v>2.7E-4</v>
      </c>
      <c r="C2">
        <v>0.5</v>
      </c>
      <c r="E2">
        <v>3.1369999000000003E-2</v>
      </c>
      <c r="F2">
        <v>0</v>
      </c>
      <c r="G2">
        <v>0.5</v>
      </c>
      <c r="H2">
        <f t="shared" ref="H2:I32" si="0">A2-E2</f>
        <v>0</v>
      </c>
      <c r="I2">
        <f>B2-F2</f>
        <v>2.7E-4</v>
      </c>
    </row>
    <row r="3" spans="1:9" x14ac:dyDescent="0.3">
      <c r="A3">
        <v>6.2619998999999996E-2</v>
      </c>
      <c r="B3">
        <v>0.49983000799999999</v>
      </c>
      <c r="C3">
        <v>0.5</v>
      </c>
      <c r="E3">
        <v>6.2619998999999996E-2</v>
      </c>
      <c r="F3">
        <v>0.5</v>
      </c>
      <c r="G3">
        <v>0.5</v>
      </c>
      <c r="H3">
        <f t="shared" si="0"/>
        <v>0</v>
      </c>
      <c r="I3">
        <f t="shared" si="0"/>
        <v>-1.6999200000000769E-4</v>
      </c>
    </row>
    <row r="4" spans="1:9" x14ac:dyDescent="0.3">
      <c r="A4">
        <v>9.3869998999999996E-2</v>
      </c>
      <c r="B4">
        <v>8.0000000000000007E-5</v>
      </c>
      <c r="C4">
        <v>0.5</v>
      </c>
      <c r="E4">
        <v>9.3869998999999996E-2</v>
      </c>
      <c r="F4">
        <v>0</v>
      </c>
      <c r="G4">
        <v>0.5</v>
      </c>
      <c r="H4">
        <f t="shared" si="0"/>
        <v>0</v>
      </c>
      <c r="I4">
        <f>B4-F4</f>
        <v>8.0000000000000007E-5</v>
      </c>
    </row>
    <row r="5" spans="1:9" x14ac:dyDescent="0.3">
      <c r="A5">
        <v>0.12511999900000001</v>
      </c>
      <c r="B5">
        <v>0.50002998099999996</v>
      </c>
      <c r="C5">
        <v>0.5</v>
      </c>
      <c r="E5">
        <v>0.12511999900000001</v>
      </c>
      <c r="F5">
        <v>0.5</v>
      </c>
      <c r="G5">
        <v>0.5</v>
      </c>
      <c r="H5">
        <f t="shared" si="0"/>
        <v>0</v>
      </c>
      <c r="I5">
        <f t="shared" si="0"/>
        <v>2.9980999999956737E-5</v>
      </c>
    </row>
    <row r="6" spans="1:9" x14ac:dyDescent="0.3">
      <c r="A6">
        <v>0.15636999900000001</v>
      </c>
      <c r="B6">
        <v>0.99987000199999998</v>
      </c>
      <c r="C6">
        <v>0.5</v>
      </c>
      <c r="E6">
        <v>0.15636999900000001</v>
      </c>
      <c r="F6">
        <v>0</v>
      </c>
      <c r="G6">
        <v>0.5</v>
      </c>
      <c r="H6">
        <f t="shared" si="0"/>
        <v>0</v>
      </c>
      <c r="I6">
        <f>B6-F6-1</f>
        <v>-1.2999800000002004E-4</v>
      </c>
    </row>
    <row r="7" spans="1:9" x14ac:dyDescent="0.3">
      <c r="A7">
        <v>0.18761999900000001</v>
      </c>
      <c r="B7">
        <v>0.50022000099999997</v>
      </c>
      <c r="C7">
        <v>0.5</v>
      </c>
      <c r="E7">
        <v>0.18761999900000001</v>
      </c>
      <c r="F7">
        <v>0.5</v>
      </c>
      <c r="G7">
        <v>0.5</v>
      </c>
      <c r="H7">
        <f t="shared" si="0"/>
        <v>0</v>
      </c>
      <c r="I7">
        <f t="shared" si="0"/>
        <v>2.2000099999996969E-4</v>
      </c>
    </row>
    <row r="8" spans="1:9" x14ac:dyDescent="0.3">
      <c r="A8">
        <v>0.21886999900000001</v>
      </c>
      <c r="B8">
        <v>0.99968999599999997</v>
      </c>
      <c r="C8">
        <v>0.5</v>
      </c>
      <c r="E8">
        <v>0.21886999900000001</v>
      </c>
      <c r="F8">
        <v>0</v>
      </c>
      <c r="G8">
        <v>0.5</v>
      </c>
      <c r="H8">
        <f t="shared" si="0"/>
        <v>0</v>
      </c>
      <c r="I8">
        <f>B8-F8-1</f>
        <v>-3.1000400000003037E-4</v>
      </c>
    </row>
    <row r="9" spans="1:9" x14ac:dyDescent="0.3">
      <c r="A9">
        <v>0.250120014</v>
      </c>
      <c r="B9">
        <v>0.50038999299999998</v>
      </c>
      <c r="C9">
        <v>0.5</v>
      </c>
      <c r="E9">
        <v>0.250120014</v>
      </c>
      <c r="F9">
        <v>0.5</v>
      </c>
      <c r="G9">
        <v>0.5</v>
      </c>
      <c r="H9">
        <f t="shared" si="0"/>
        <v>0</v>
      </c>
      <c r="I9">
        <f t="shared" si="0"/>
        <v>3.8999299999997739E-4</v>
      </c>
    </row>
    <row r="10" spans="1:9" x14ac:dyDescent="0.3">
      <c r="A10">
        <v>0.281370014</v>
      </c>
      <c r="B10">
        <v>0.99954998500000003</v>
      </c>
      <c r="C10">
        <v>0.5</v>
      </c>
      <c r="E10">
        <v>0.281370014</v>
      </c>
      <c r="F10">
        <v>0</v>
      </c>
      <c r="G10">
        <v>0.5</v>
      </c>
      <c r="H10">
        <f t="shared" si="0"/>
        <v>0</v>
      </c>
      <c r="I10">
        <f>B10-F10-1</f>
        <v>-4.500149999999703E-4</v>
      </c>
    </row>
    <row r="11" spans="1:9" x14ac:dyDescent="0.3">
      <c r="A11">
        <v>0.312620014</v>
      </c>
      <c r="B11">
        <v>0.50049001000000004</v>
      </c>
      <c r="C11">
        <v>0.5</v>
      </c>
      <c r="E11">
        <v>0.312620014</v>
      </c>
      <c r="F11">
        <v>0.5</v>
      </c>
      <c r="G11">
        <v>0.5</v>
      </c>
      <c r="H11">
        <f t="shared" si="0"/>
        <v>0</v>
      </c>
      <c r="I11">
        <f t="shared" si="0"/>
        <v>4.9001000000004069E-4</v>
      </c>
    </row>
    <row r="12" spans="1:9" x14ac:dyDescent="0.3">
      <c r="A12">
        <v>0.343870014</v>
      </c>
      <c r="B12">
        <v>0.999480009</v>
      </c>
      <c r="C12">
        <v>0.5</v>
      </c>
      <c r="E12">
        <v>0.343870014</v>
      </c>
      <c r="F12">
        <v>0</v>
      </c>
      <c r="G12">
        <v>0.5</v>
      </c>
      <c r="H12">
        <f t="shared" si="0"/>
        <v>0</v>
      </c>
      <c r="I12">
        <f>B12-F12-1</f>
        <v>-5.1999099999999743E-4</v>
      </c>
    </row>
    <row r="13" spans="1:9" x14ac:dyDescent="0.3">
      <c r="A13">
        <v>0.375120014</v>
      </c>
      <c r="B13">
        <v>0.500519991</v>
      </c>
      <c r="C13">
        <v>0.5</v>
      </c>
      <c r="E13">
        <v>0.375120014</v>
      </c>
      <c r="F13">
        <v>0.5</v>
      </c>
      <c r="G13">
        <v>0.5</v>
      </c>
      <c r="H13">
        <f t="shared" si="0"/>
        <v>0</v>
      </c>
      <c r="I13">
        <f t="shared" si="0"/>
        <v>5.1999099999999743E-4</v>
      </c>
    </row>
    <row r="14" spans="1:9" x14ac:dyDescent="0.3">
      <c r="A14">
        <v>0.406370014</v>
      </c>
      <c r="B14">
        <v>0.99949002300000001</v>
      </c>
      <c r="C14">
        <v>0.5</v>
      </c>
      <c r="E14">
        <v>0.406370014</v>
      </c>
      <c r="F14">
        <v>0</v>
      </c>
      <c r="G14">
        <v>0.5</v>
      </c>
      <c r="H14">
        <f t="shared" si="0"/>
        <v>0</v>
      </c>
      <c r="I14">
        <f>B14-F14-1</f>
        <v>-5.099769999999948E-4</v>
      </c>
    </row>
    <row r="15" spans="1:9" x14ac:dyDescent="0.3">
      <c r="A15">
        <v>0.437620014</v>
      </c>
      <c r="B15">
        <v>0.50046998300000001</v>
      </c>
      <c r="C15">
        <v>0.5</v>
      </c>
      <c r="E15">
        <v>0.437620014</v>
      </c>
      <c r="F15">
        <v>0.5</v>
      </c>
      <c r="G15">
        <v>0.5</v>
      </c>
      <c r="H15">
        <f t="shared" si="0"/>
        <v>0</v>
      </c>
      <c r="I15">
        <f t="shared" si="0"/>
        <v>4.6998300000000715E-4</v>
      </c>
    </row>
    <row r="16" spans="1:9" x14ac:dyDescent="0.3">
      <c r="A16">
        <v>0.468870014</v>
      </c>
      <c r="B16">
        <v>0.99958002599999995</v>
      </c>
      <c r="C16">
        <v>0.5</v>
      </c>
      <c r="E16">
        <v>0.468870014</v>
      </c>
      <c r="F16">
        <v>0</v>
      </c>
      <c r="G16">
        <v>0.5</v>
      </c>
      <c r="H16">
        <f t="shared" si="0"/>
        <v>0</v>
      </c>
      <c r="I16">
        <f>B16-F16-1</f>
        <v>-4.1997400000004514E-4</v>
      </c>
    </row>
    <row r="17" spans="1:9" x14ac:dyDescent="0.3">
      <c r="A17">
        <v>0.50011998400000002</v>
      </c>
      <c r="B17">
        <v>0.50034999800000002</v>
      </c>
      <c r="C17">
        <v>0.5</v>
      </c>
      <c r="E17">
        <v>0.50011998400000002</v>
      </c>
      <c r="F17">
        <v>0.5</v>
      </c>
      <c r="G17">
        <v>0.5</v>
      </c>
      <c r="H17">
        <f t="shared" si="0"/>
        <v>0</v>
      </c>
      <c r="I17">
        <f t="shared" si="0"/>
        <v>3.4999800000001802E-4</v>
      </c>
    </row>
    <row r="18" spans="1:9" x14ac:dyDescent="0.3">
      <c r="A18">
        <v>0.53136998400000002</v>
      </c>
      <c r="B18">
        <v>0.99972999100000004</v>
      </c>
      <c r="C18">
        <v>0.5</v>
      </c>
      <c r="E18">
        <v>0.53136998400000002</v>
      </c>
      <c r="F18">
        <v>0</v>
      </c>
      <c r="G18">
        <v>0.5</v>
      </c>
      <c r="H18">
        <f t="shared" si="0"/>
        <v>0</v>
      </c>
      <c r="I18">
        <f>B18-F18-1</f>
        <v>-2.7000899999995998E-4</v>
      </c>
    </row>
    <row r="19" spans="1:9" x14ac:dyDescent="0.3">
      <c r="A19">
        <v>0.56261998400000002</v>
      </c>
      <c r="B19">
        <v>0.50016999200000001</v>
      </c>
      <c r="C19">
        <v>0.5</v>
      </c>
      <c r="E19">
        <v>0.56261998400000002</v>
      </c>
      <c r="F19">
        <v>0.5</v>
      </c>
      <c r="G19">
        <v>0.5</v>
      </c>
      <c r="H19">
        <f t="shared" si="0"/>
        <v>0</v>
      </c>
      <c r="I19">
        <f t="shared" si="0"/>
        <v>1.6999200000000769E-4</v>
      </c>
    </row>
    <row r="20" spans="1:9" x14ac:dyDescent="0.3">
      <c r="A20">
        <v>0.59386998400000002</v>
      </c>
      <c r="B20">
        <v>0.99992001100000005</v>
      </c>
      <c r="C20">
        <v>0.5</v>
      </c>
      <c r="E20">
        <v>0.59386998400000002</v>
      </c>
      <c r="F20">
        <v>0</v>
      </c>
      <c r="G20">
        <v>0.5</v>
      </c>
      <c r="H20">
        <f t="shared" si="0"/>
        <v>0</v>
      </c>
      <c r="I20">
        <f>B20-F20-1</f>
        <v>-7.9988999999947019E-5</v>
      </c>
    </row>
    <row r="21" spans="1:9" x14ac:dyDescent="0.3">
      <c r="A21">
        <v>0.62511998400000002</v>
      </c>
      <c r="B21">
        <v>0.49997001899999999</v>
      </c>
      <c r="C21">
        <v>0.5</v>
      </c>
      <c r="E21">
        <v>0.62511998400000002</v>
      </c>
      <c r="F21">
        <v>0.5</v>
      </c>
      <c r="G21">
        <v>0.5</v>
      </c>
      <c r="H21">
        <f t="shared" si="0"/>
        <v>0</v>
      </c>
      <c r="I21">
        <f t="shared" si="0"/>
        <v>-2.9981000000012248E-5</v>
      </c>
    </row>
    <row r="22" spans="1:9" x14ac:dyDescent="0.3">
      <c r="A22">
        <v>0.65636998400000002</v>
      </c>
      <c r="B22">
        <v>1.2999999999999999E-4</v>
      </c>
      <c r="C22">
        <v>0.5</v>
      </c>
      <c r="E22">
        <v>0.65636998400000002</v>
      </c>
      <c r="F22">
        <v>0</v>
      </c>
      <c r="G22">
        <v>0.5</v>
      </c>
      <c r="H22">
        <f t="shared" si="0"/>
        <v>0</v>
      </c>
      <c r="I22">
        <f t="shared" si="0"/>
        <v>1.2999999999999999E-4</v>
      </c>
    </row>
    <row r="23" spans="1:9" x14ac:dyDescent="0.3">
      <c r="A23">
        <v>0.68761998400000002</v>
      </c>
      <c r="B23">
        <v>0.49977999899999997</v>
      </c>
      <c r="C23">
        <v>0.5</v>
      </c>
      <c r="E23">
        <v>0.68761998400000002</v>
      </c>
      <c r="F23">
        <v>0.5</v>
      </c>
      <c r="G23">
        <v>0.5</v>
      </c>
      <c r="H23">
        <f t="shared" si="0"/>
        <v>0</v>
      </c>
      <c r="I23">
        <f t="shared" si="0"/>
        <v>-2.200010000000252E-4</v>
      </c>
    </row>
    <row r="24" spans="1:9" x14ac:dyDescent="0.3">
      <c r="A24">
        <v>0.71886998400000002</v>
      </c>
      <c r="B24">
        <v>3.1E-4</v>
      </c>
      <c r="C24">
        <v>0.5</v>
      </c>
      <c r="E24">
        <v>0.71886998400000002</v>
      </c>
      <c r="F24">
        <v>0</v>
      </c>
      <c r="G24">
        <v>0.5</v>
      </c>
      <c r="H24">
        <f t="shared" si="0"/>
        <v>0</v>
      </c>
      <c r="I24">
        <f t="shared" si="0"/>
        <v>3.1E-4</v>
      </c>
    </row>
    <row r="25" spans="1:9" x14ac:dyDescent="0.3">
      <c r="A25">
        <v>0.75012004399999999</v>
      </c>
      <c r="B25">
        <v>0.49961000700000002</v>
      </c>
      <c r="C25">
        <v>0.5</v>
      </c>
      <c r="E25">
        <v>0.75012004399999999</v>
      </c>
      <c r="F25">
        <v>0.5</v>
      </c>
      <c r="G25">
        <v>0.5</v>
      </c>
      <c r="H25">
        <f t="shared" si="0"/>
        <v>0</v>
      </c>
      <c r="I25">
        <f t="shared" si="0"/>
        <v>-3.8999299999997739E-4</v>
      </c>
    </row>
    <row r="26" spans="1:9" x14ac:dyDescent="0.3">
      <c r="A26">
        <v>0.78137004399999999</v>
      </c>
      <c r="B26">
        <v>4.4999999999999999E-4</v>
      </c>
      <c r="C26">
        <v>0.5</v>
      </c>
      <c r="E26">
        <v>0.78137004399999999</v>
      </c>
      <c r="F26">
        <v>0</v>
      </c>
      <c r="G26">
        <v>0.5</v>
      </c>
      <c r="H26">
        <f t="shared" si="0"/>
        <v>0</v>
      </c>
      <c r="I26">
        <f t="shared" si="0"/>
        <v>4.4999999999999999E-4</v>
      </c>
    </row>
    <row r="27" spans="1:9" x14ac:dyDescent="0.3">
      <c r="A27">
        <v>0.81262004399999999</v>
      </c>
      <c r="B27">
        <v>0.49950999000000001</v>
      </c>
      <c r="C27">
        <v>0.5</v>
      </c>
      <c r="E27">
        <v>0.81262004399999999</v>
      </c>
      <c r="F27">
        <v>0.5</v>
      </c>
      <c r="G27">
        <v>0.5</v>
      </c>
      <c r="H27">
        <f t="shared" si="0"/>
        <v>0</v>
      </c>
      <c r="I27">
        <f t="shared" si="0"/>
        <v>-4.9000999999998518E-4</v>
      </c>
    </row>
    <row r="28" spans="1:9" x14ac:dyDescent="0.3">
      <c r="A28">
        <v>0.84387004399999999</v>
      </c>
      <c r="B28">
        <v>5.1999999999999995E-4</v>
      </c>
      <c r="C28">
        <v>0.5</v>
      </c>
      <c r="E28">
        <v>0.84387004399999999</v>
      </c>
      <c r="F28">
        <v>0</v>
      </c>
      <c r="G28">
        <v>0.5</v>
      </c>
      <c r="H28">
        <f t="shared" si="0"/>
        <v>0</v>
      </c>
      <c r="I28">
        <f>B28-F28</f>
        <v>5.1999999999999995E-4</v>
      </c>
    </row>
    <row r="29" spans="1:9" x14ac:dyDescent="0.3">
      <c r="A29">
        <v>0.87512004399999999</v>
      </c>
      <c r="B29">
        <v>0.499480009</v>
      </c>
      <c r="C29">
        <v>0.5</v>
      </c>
      <c r="E29">
        <v>0.87512004399999999</v>
      </c>
      <c r="F29">
        <v>0.5</v>
      </c>
      <c r="G29">
        <v>0.5</v>
      </c>
      <c r="H29">
        <f t="shared" si="0"/>
        <v>0</v>
      </c>
      <c r="I29">
        <f t="shared" si="0"/>
        <v>-5.1999099999999743E-4</v>
      </c>
    </row>
    <row r="30" spans="1:9" x14ac:dyDescent="0.3">
      <c r="A30">
        <v>0.90637004399999999</v>
      </c>
      <c r="B30">
        <v>5.1000000000000004E-4</v>
      </c>
      <c r="C30">
        <v>0.5</v>
      </c>
      <c r="E30">
        <v>0.90637004399999999</v>
      </c>
      <c r="F30">
        <v>0</v>
      </c>
      <c r="G30">
        <v>0.5</v>
      </c>
      <c r="H30">
        <f t="shared" si="0"/>
        <v>0</v>
      </c>
      <c r="I30">
        <f t="shared" si="0"/>
        <v>5.1000000000000004E-4</v>
      </c>
    </row>
    <row r="31" spans="1:9" x14ac:dyDescent="0.3">
      <c r="A31">
        <v>0.93762004399999999</v>
      </c>
      <c r="B31">
        <v>0.49953001699999999</v>
      </c>
      <c r="C31">
        <v>0.5</v>
      </c>
      <c r="E31">
        <v>0.93762004399999999</v>
      </c>
      <c r="F31">
        <v>0.5</v>
      </c>
      <c r="G31">
        <v>0.5</v>
      </c>
      <c r="H31">
        <f t="shared" si="0"/>
        <v>0</v>
      </c>
      <c r="I31">
        <f t="shared" si="0"/>
        <v>-4.6998300000000715E-4</v>
      </c>
    </row>
    <row r="32" spans="1:9" x14ac:dyDescent="0.3">
      <c r="A32">
        <v>0.96887004399999999</v>
      </c>
      <c r="B32">
        <v>4.2000000000000002E-4</v>
      </c>
      <c r="C32">
        <v>0.5</v>
      </c>
      <c r="E32">
        <v>0.96887004399999999</v>
      </c>
      <c r="F32">
        <v>0</v>
      </c>
      <c r="G32">
        <v>0.5</v>
      </c>
      <c r="H32">
        <f t="shared" si="0"/>
        <v>0</v>
      </c>
      <c r="I32">
        <f t="shared" si="0"/>
        <v>4.2000000000000002E-4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56358-6ECE-4A1D-A26C-09E04B4065AF}">
  <dimension ref="A1:L32"/>
  <sheetViews>
    <sheetView topLeftCell="A13" workbookViewId="0">
      <selection activeCell="L1" sqref="L1:L32"/>
    </sheetView>
  </sheetViews>
  <sheetFormatPr defaultRowHeight="14" x14ac:dyDescent="0.3"/>
  <cols>
    <col min="12" max="12" width="11.4140625" bestFit="1" customWidth="1"/>
  </cols>
  <sheetData>
    <row r="1" spans="1:12" x14ac:dyDescent="0.3">
      <c r="A1">
        <v>1.5739976999999999E-2</v>
      </c>
      <c r="B1">
        <v>0.25006997600000003</v>
      </c>
      <c r="C1">
        <v>0.5</v>
      </c>
      <c r="E1">
        <v>1.5739976999999999E-2</v>
      </c>
      <c r="F1">
        <v>0.25</v>
      </c>
      <c r="G1">
        <v>0.5</v>
      </c>
      <c r="H1">
        <f>A1-E1</f>
        <v>0</v>
      </c>
      <c r="I1">
        <f>B1-F1</f>
        <v>6.9976000000027128E-5</v>
      </c>
      <c r="J1">
        <v>6.9976000000027128E-5</v>
      </c>
      <c r="K1">
        <f>SUM(I1:J1)</f>
        <v>1.3995200000005426E-4</v>
      </c>
      <c r="L1">
        <f>K1/2</f>
        <v>6.9976000000027128E-5</v>
      </c>
    </row>
    <row r="2" spans="1:12" x14ac:dyDescent="0.3">
      <c r="A2">
        <v>4.6989999999999997E-2</v>
      </c>
      <c r="B2">
        <v>0.24989</v>
      </c>
      <c r="C2">
        <v>0.5</v>
      </c>
      <c r="E2">
        <v>4.6989999999999997E-2</v>
      </c>
      <c r="F2">
        <v>0.25</v>
      </c>
      <c r="G2">
        <v>0.5</v>
      </c>
      <c r="H2">
        <f t="shared" ref="H2:I32" si="0">A2-E2</f>
        <v>0</v>
      </c>
      <c r="I2">
        <f t="shared" si="0"/>
        <v>-1.0999999999999899E-4</v>
      </c>
      <c r="J2">
        <v>-1.100299999999832E-4</v>
      </c>
      <c r="K2">
        <f t="shared" ref="K2:K32" si="1">SUM(I2:J2)</f>
        <v>-2.2002999999998218E-4</v>
      </c>
      <c r="L2">
        <f t="shared" ref="L2:L32" si="2">K2/2</f>
        <v>-1.1001499999999109E-4</v>
      </c>
    </row>
    <row r="3" spans="1:12" x14ac:dyDescent="0.3">
      <c r="A3">
        <v>7.8249991000000005E-2</v>
      </c>
      <c r="B3">
        <v>0.250150025</v>
      </c>
      <c r="C3">
        <v>0.5</v>
      </c>
      <c r="E3">
        <v>7.8239977000000002E-2</v>
      </c>
      <c r="F3">
        <v>0.25</v>
      </c>
      <c r="G3">
        <v>0.5</v>
      </c>
      <c r="H3">
        <f t="shared" si="0"/>
        <v>1.0014000000002632E-5</v>
      </c>
      <c r="I3">
        <f t="shared" si="0"/>
        <v>1.5002499999999808E-4</v>
      </c>
      <c r="J3">
        <v>1.5002500000005359E-4</v>
      </c>
      <c r="K3">
        <f t="shared" si="1"/>
        <v>3.0005000000005166E-4</v>
      </c>
      <c r="L3">
        <f t="shared" si="2"/>
        <v>1.5002500000002583E-4</v>
      </c>
    </row>
    <row r="4" spans="1:12" x14ac:dyDescent="0.3">
      <c r="A4">
        <v>0.109499998</v>
      </c>
      <c r="B4">
        <v>0.249829993</v>
      </c>
      <c r="C4">
        <v>0.5</v>
      </c>
      <c r="E4">
        <v>0.10949</v>
      </c>
      <c r="F4">
        <v>0.25</v>
      </c>
      <c r="G4">
        <v>0.5</v>
      </c>
      <c r="H4">
        <f t="shared" si="0"/>
        <v>9.9979999999971758E-6</v>
      </c>
      <c r="I4">
        <f t="shared" si="0"/>
        <v>-1.700069999999998E-4</v>
      </c>
      <c r="J4">
        <v>-1.6999200000000769E-4</v>
      </c>
      <c r="K4">
        <f t="shared" si="1"/>
        <v>-3.3999900000000749E-4</v>
      </c>
      <c r="L4">
        <f t="shared" si="2"/>
        <v>-1.6999950000000374E-4</v>
      </c>
    </row>
    <row r="5" spans="1:12" x14ac:dyDescent="0.3">
      <c r="A5">
        <v>0.14074999099999999</v>
      </c>
      <c r="B5">
        <v>0.25019997399999999</v>
      </c>
      <c r="C5">
        <v>0.5</v>
      </c>
      <c r="E5">
        <v>0.14073997699999999</v>
      </c>
      <c r="F5">
        <v>0.25</v>
      </c>
      <c r="G5">
        <v>0.5</v>
      </c>
      <c r="H5">
        <f t="shared" si="0"/>
        <v>1.0014000000002632E-5</v>
      </c>
      <c r="I5">
        <f t="shared" si="0"/>
        <v>1.9997399999999166E-4</v>
      </c>
      <c r="J5">
        <v>1.9997400000004717E-4</v>
      </c>
      <c r="K5">
        <f t="shared" si="1"/>
        <v>3.9994800000003883E-4</v>
      </c>
      <c r="L5">
        <f t="shared" si="2"/>
        <v>1.9997400000001941E-4</v>
      </c>
    </row>
    <row r="6" spans="1:12" x14ac:dyDescent="0.3">
      <c r="A6">
        <v>0.17201000499999999</v>
      </c>
      <c r="B6">
        <v>0.24978999800000001</v>
      </c>
      <c r="C6">
        <v>0.5</v>
      </c>
      <c r="E6">
        <v>0.171990007</v>
      </c>
      <c r="F6">
        <v>0.25</v>
      </c>
      <c r="G6">
        <v>0.5</v>
      </c>
      <c r="H6">
        <f t="shared" si="0"/>
        <v>1.9997999999993299E-5</v>
      </c>
      <c r="I6">
        <f t="shared" si="0"/>
        <v>-2.1000199999998692E-4</v>
      </c>
      <c r="J6">
        <v>-2.0998699999996706E-4</v>
      </c>
      <c r="K6">
        <f t="shared" si="1"/>
        <v>-4.1998899999995398E-4</v>
      </c>
      <c r="L6">
        <f t="shared" si="2"/>
        <v>-2.0999449999997699E-4</v>
      </c>
    </row>
    <row r="7" spans="1:12" x14ac:dyDescent="0.3">
      <c r="A7">
        <v>0.20326000499999999</v>
      </c>
      <c r="B7">
        <v>0.25020998700000002</v>
      </c>
      <c r="C7">
        <v>0.5</v>
      </c>
      <c r="E7">
        <v>0.20323997699999999</v>
      </c>
      <c r="F7">
        <v>0.25</v>
      </c>
      <c r="G7">
        <v>0.5</v>
      </c>
      <c r="H7">
        <f t="shared" si="0"/>
        <v>2.0028000000005264E-5</v>
      </c>
      <c r="I7">
        <f t="shared" si="0"/>
        <v>2.0998700000002257E-4</v>
      </c>
      <c r="J7">
        <v>2.0998699999996706E-4</v>
      </c>
      <c r="K7">
        <f t="shared" si="1"/>
        <v>4.1997399999998963E-4</v>
      </c>
      <c r="L7">
        <f t="shared" si="2"/>
        <v>2.0998699999999482E-4</v>
      </c>
    </row>
    <row r="8" spans="1:12" x14ac:dyDescent="0.3">
      <c r="A8">
        <v>0.23451000499999999</v>
      </c>
      <c r="B8">
        <v>0.24978999800000001</v>
      </c>
      <c r="C8">
        <v>0.5</v>
      </c>
      <c r="E8">
        <v>0.234490007</v>
      </c>
      <c r="F8">
        <v>0.25</v>
      </c>
      <c r="G8">
        <v>0.5</v>
      </c>
      <c r="H8">
        <f t="shared" si="0"/>
        <v>1.9997999999993299E-5</v>
      </c>
      <c r="I8">
        <f t="shared" si="0"/>
        <v>-2.1000199999998692E-4</v>
      </c>
      <c r="J8">
        <v>-2.0998699999996706E-4</v>
      </c>
      <c r="K8">
        <f t="shared" si="1"/>
        <v>-4.1998899999995398E-4</v>
      </c>
      <c r="L8">
        <f t="shared" si="2"/>
        <v>-2.0999449999997699E-4</v>
      </c>
    </row>
    <row r="9" spans="1:12" x14ac:dyDescent="0.3">
      <c r="A9">
        <v>0.26576000500000002</v>
      </c>
      <c r="B9">
        <v>0.25019997399999999</v>
      </c>
      <c r="C9">
        <v>0.5</v>
      </c>
      <c r="E9">
        <v>0.26573997700000002</v>
      </c>
      <c r="F9">
        <v>0.25</v>
      </c>
      <c r="G9">
        <v>0.5</v>
      </c>
      <c r="H9">
        <f t="shared" si="0"/>
        <v>2.0028000000005264E-5</v>
      </c>
      <c r="I9">
        <f t="shared" si="0"/>
        <v>1.9997399999999166E-4</v>
      </c>
      <c r="J9">
        <v>1.9997400000004717E-4</v>
      </c>
      <c r="K9">
        <f t="shared" si="1"/>
        <v>3.9994800000003883E-4</v>
      </c>
      <c r="L9">
        <f t="shared" si="2"/>
        <v>1.9997400000001941E-4</v>
      </c>
    </row>
    <row r="10" spans="1:12" x14ac:dyDescent="0.3">
      <c r="A10">
        <v>0.29701000500000002</v>
      </c>
      <c r="B10">
        <v>0.24981999399999999</v>
      </c>
      <c r="C10">
        <v>0.5</v>
      </c>
      <c r="E10">
        <v>0.296990007</v>
      </c>
      <c r="F10">
        <v>0.25</v>
      </c>
      <c r="G10">
        <v>0.5</v>
      </c>
      <c r="H10">
        <f t="shared" si="0"/>
        <v>1.9998000000021054E-5</v>
      </c>
      <c r="I10">
        <f t="shared" si="0"/>
        <v>-1.8000600000001032E-4</v>
      </c>
      <c r="J10">
        <v>-1.8000600000001032E-4</v>
      </c>
      <c r="K10">
        <f t="shared" si="1"/>
        <v>-3.6001200000002065E-4</v>
      </c>
      <c r="L10">
        <f t="shared" si="2"/>
        <v>-1.8000600000001032E-4</v>
      </c>
    </row>
    <row r="11" spans="1:12" x14ac:dyDescent="0.3">
      <c r="A11">
        <v>0.32826000500000002</v>
      </c>
      <c r="B11">
        <v>0.25015997899999998</v>
      </c>
      <c r="C11">
        <v>0.5</v>
      </c>
      <c r="E11">
        <v>0.32823997700000002</v>
      </c>
      <c r="F11">
        <v>0.25</v>
      </c>
      <c r="G11">
        <v>0.5</v>
      </c>
      <c r="H11">
        <f t="shared" si="0"/>
        <v>2.0028000000005264E-5</v>
      </c>
      <c r="I11">
        <f t="shared" si="0"/>
        <v>1.5997899999997678E-4</v>
      </c>
      <c r="J11">
        <v>1.5997899999997678E-4</v>
      </c>
      <c r="K11">
        <f t="shared" si="1"/>
        <v>3.1995799999995356E-4</v>
      </c>
      <c r="L11">
        <f t="shared" si="2"/>
        <v>1.5997899999997678E-4</v>
      </c>
    </row>
    <row r="12" spans="1:12" x14ac:dyDescent="0.3">
      <c r="A12">
        <v>0.35951000500000002</v>
      </c>
      <c r="B12">
        <v>0.24987000200000001</v>
      </c>
      <c r="C12">
        <v>0.5</v>
      </c>
      <c r="E12">
        <v>0.359490007</v>
      </c>
      <c r="F12">
        <v>0.25</v>
      </c>
      <c r="G12">
        <v>0.5</v>
      </c>
      <c r="H12">
        <f t="shared" si="0"/>
        <v>1.9998000000021054E-5</v>
      </c>
      <c r="I12">
        <f t="shared" si="0"/>
        <v>-1.2999799999999229E-4</v>
      </c>
      <c r="J12">
        <v>-1.2999800000002004E-4</v>
      </c>
      <c r="K12">
        <f t="shared" si="1"/>
        <v>-2.5999600000001233E-4</v>
      </c>
      <c r="L12">
        <f t="shared" si="2"/>
        <v>-1.2999800000000616E-4</v>
      </c>
    </row>
    <row r="13" spans="1:12" x14ac:dyDescent="0.3">
      <c r="A13">
        <v>0.39076000500000002</v>
      </c>
      <c r="B13">
        <v>0.25009000300000001</v>
      </c>
      <c r="C13">
        <v>0.5</v>
      </c>
      <c r="E13">
        <v>0.39073997700000002</v>
      </c>
      <c r="F13">
        <v>0.25</v>
      </c>
      <c r="G13">
        <v>0.5</v>
      </c>
      <c r="H13">
        <f t="shared" si="0"/>
        <v>2.0028000000005264E-5</v>
      </c>
      <c r="I13">
        <f t="shared" si="0"/>
        <v>9.0003000000005162E-5</v>
      </c>
      <c r="J13">
        <v>9.0002999999949651E-5</v>
      </c>
      <c r="K13">
        <f t="shared" si="1"/>
        <v>1.8000599999995481E-4</v>
      </c>
      <c r="L13">
        <f t="shared" si="2"/>
        <v>9.0002999999977407E-5</v>
      </c>
    </row>
    <row r="14" spans="1:12" x14ac:dyDescent="0.3">
      <c r="A14">
        <v>0.42201000500000002</v>
      </c>
      <c r="B14">
        <v>0.249950007</v>
      </c>
      <c r="C14">
        <v>0.5</v>
      </c>
      <c r="E14">
        <v>0.421990007</v>
      </c>
      <c r="F14">
        <v>0.25</v>
      </c>
      <c r="G14">
        <v>0.5</v>
      </c>
      <c r="H14">
        <f t="shared" si="0"/>
        <v>1.9998000000021054E-5</v>
      </c>
      <c r="I14">
        <f t="shared" si="0"/>
        <v>-4.9992999999998178E-5</v>
      </c>
      <c r="J14">
        <v>-5.0007999999990282E-5</v>
      </c>
      <c r="K14">
        <f t="shared" si="1"/>
        <v>-1.0000099999998846E-4</v>
      </c>
      <c r="L14">
        <f t="shared" si="2"/>
        <v>-5.000049999999423E-5</v>
      </c>
    </row>
    <row r="15" spans="1:12" x14ac:dyDescent="0.3">
      <c r="A15">
        <v>0.45324999100000002</v>
      </c>
      <c r="B15">
        <v>0.250010014</v>
      </c>
      <c r="C15">
        <v>0.5</v>
      </c>
      <c r="E15">
        <v>0.453240007</v>
      </c>
      <c r="F15">
        <v>0.25</v>
      </c>
      <c r="G15">
        <v>0.5</v>
      </c>
      <c r="H15">
        <f t="shared" si="0"/>
        <v>9.9840000000184226E-6</v>
      </c>
      <c r="I15">
        <f t="shared" si="0"/>
        <v>1.0014000000002632E-5</v>
      </c>
      <c r="J15">
        <v>1.0014000000002632E-5</v>
      </c>
      <c r="K15">
        <f t="shared" si="1"/>
        <v>2.0028000000005264E-5</v>
      </c>
      <c r="L15">
        <f t="shared" si="2"/>
        <v>1.0014000000002632E-5</v>
      </c>
    </row>
    <row r="16" spans="1:12" x14ac:dyDescent="0.3">
      <c r="A16">
        <v>0.48449999100000002</v>
      </c>
      <c r="B16">
        <v>0.250030011</v>
      </c>
      <c r="C16">
        <v>0.5</v>
      </c>
      <c r="E16">
        <v>0.484490007</v>
      </c>
      <c r="F16">
        <v>0.25</v>
      </c>
      <c r="G16">
        <v>0.5</v>
      </c>
      <c r="H16">
        <f t="shared" si="0"/>
        <v>9.9840000000184226E-6</v>
      </c>
      <c r="I16">
        <f t="shared" si="0"/>
        <v>3.0010999999996457E-5</v>
      </c>
      <c r="J16">
        <v>2.9980999999956737E-5</v>
      </c>
      <c r="K16">
        <f t="shared" si="1"/>
        <v>5.9991999999953194E-5</v>
      </c>
      <c r="L16">
        <f t="shared" si="2"/>
        <v>2.9995999999976597E-5</v>
      </c>
    </row>
    <row r="17" spans="1:12" x14ac:dyDescent="0.3">
      <c r="A17">
        <v>0.51574999099999996</v>
      </c>
      <c r="B17">
        <v>0.249930024</v>
      </c>
      <c r="C17">
        <v>0.5</v>
      </c>
      <c r="E17">
        <v>0.51573997699999996</v>
      </c>
      <c r="F17">
        <v>0.25</v>
      </c>
      <c r="G17">
        <v>0.5</v>
      </c>
      <c r="H17">
        <f t="shared" si="0"/>
        <v>1.0014000000002632E-5</v>
      </c>
      <c r="I17">
        <f t="shared" si="0"/>
        <v>-6.9975999999999372E-5</v>
      </c>
      <c r="J17">
        <v>-6.9976000000027128E-5</v>
      </c>
      <c r="K17">
        <f t="shared" si="1"/>
        <v>-1.399520000000265E-4</v>
      </c>
      <c r="L17">
        <f t="shared" si="2"/>
        <v>-6.997600000001325E-5</v>
      </c>
    </row>
    <row r="18" spans="1:12" x14ac:dyDescent="0.3">
      <c r="A18">
        <v>0.54698997699999996</v>
      </c>
      <c r="B18">
        <v>0.25011</v>
      </c>
      <c r="C18">
        <v>0.5</v>
      </c>
      <c r="E18">
        <v>0.54698997699999996</v>
      </c>
      <c r="F18">
        <v>0.25</v>
      </c>
      <c r="G18">
        <v>0.5</v>
      </c>
      <c r="H18">
        <f t="shared" si="0"/>
        <v>0</v>
      </c>
      <c r="I18">
        <f t="shared" si="0"/>
        <v>1.0999999999999899E-4</v>
      </c>
      <c r="J18">
        <v>1.100299999999832E-4</v>
      </c>
      <c r="K18">
        <f t="shared" si="1"/>
        <v>2.2002999999998218E-4</v>
      </c>
      <c r="L18">
        <f t="shared" si="2"/>
        <v>1.1001499999999109E-4</v>
      </c>
    </row>
    <row r="19" spans="1:12" x14ac:dyDescent="0.3">
      <c r="A19">
        <v>0.57823997699999996</v>
      </c>
      <c r="B19">
        <v>0.249849975</v>
      </c>
      <c r="C19">
        <v>0.5</v>
      </c>
      <c r="E19">
        <v>0.57823997699999996</v>
      </c>
      <c r="F19">
        <v>0.25</v>
      </c>
      <c r="G19">
        <v>0.5</v>
      </c>
      <c r="H19">
        <f t="shared" si="0"/>
        <v>0</v>
      </c>
      <c r="I19">
        <f t="shared" si="0"/>
        <v>-1.5002499999999808E-4</v>
      </c>
      <c r="J19">
        <v>-1.5002500000005359E-4</v>
      </c>
      <c r="K19">
        <f t="shared" si="1"/>
        <v>-3.0005000000005166E-4</v>
      </c>
      <c r="L19">
        <f t="shared" si="2"/>
        <v>-1.5002500000002583E-4</v>
      </c>
    </row>
    <row r="20" spans="1:12" x14ac:dyDescent="0.3">
      <c r="A20">
        <v>0.60948002300000004</v>
      </c>
      <c r="B20">
        <v>0.25016999200000001</v>
      </c>
      <c r="C20">
        <v>0.5</v>
      </c>
      <c r="E20">
        <v>0.60948997699999996</v>
      </c>
      <c r="F20">
        <v>0.25</v>
      </c>
      <c r="G20">
        <v>0.5</v>
      </c>
      <c r="H20">
        <f t="shared" si="0"/>
        <v>-9.953999999923191E-6</v>
      </c>
      <c r="I20">
        <f t="shared" si="0"/>
        <v>1.6999200000000769E-4</v>
      </c>
      <c r="J20">
        <v>1.6999200000000769E-4</v>
      </c>
      <c r="K20">
        <f t="shared" si="1"/>
        <v>3.3998400000001539E-4</v>
      </c>
      <c r="L20">
        <f t="shared" si="2"/>
        <v>1.6999200000000769E-4</v>
      </c>
    </row>
    <row r="21" spans="1:12" x14ac:dyDescent="0.3">
      <c r="A21">
        <v>0.64073002300000004</v>
      </c>
      <c r="B21">
        <v>0.24980002600000001</v>
      </c>
      <c r="C21">
        <v>0.5</v>
      </c>
      <c r="E21">
        <v>0.64074003700000004</v>
      </c>
      <c r="F21">
        <v>0.25</v>
      </c>
      <c r="G21">
        <v>0.5</v>
      </c>
      <c r="H21">
        <f t="shared" si="0"/>
        <v>-1.0014000000002632E-5</v>
      </c>
      <c r="I21">
        <f t="shared" si="0"/>
        <v>-1.9997399999999166E-4</v>
      </c>
      <c r="J21">
        <v>-1.9997400000004717E-4</v>
      </c>
      <c r="K21">
        <f t="shared" si="1"/>
        <v>-3.9994800000003883E-4</v>
      </c>
      <c r="L21">
        <f t="shared" si="2"/>
        <v>-1.9997400000001941E-4</v>
      </c>
    </row>
    <row r="22" spans="1:12" x14ac:dyDescent="0.3">
      <c r="A22">
        <v>0.67198002300000004</v>
      </c>
      <c r="B22">
        <v>0.25020998700000002</v>
      </c>
      <c r="C22">
        <v>0.5</v>
      </c>
      <c r="E22">
        <v>0.67198997699999996</v>
      </c>
      <c r="F22">
        <v>0.25</v>
      </c>
      <c r="G22">
        <v>0.5</v>
      </c>
      <c r="H22">
        <f t="shared" si="0"/>
        <v>-9.953999999923191E-6</v>
      </c>
      <c r="I22">
        <f t="shared" si="0"/>
        <v>2.0998700000002257E-4</v>
      </c>
      <c r="J22">
        <v>2.0998699999996706E-4</v>
      </c>
      <c r="K22">
        <f t="shared" si="1"/>
        <v>4.1997399999998963E-4</v>
      </c>
      <c r="L22">
        <f t="shared" si="2"/>
        <v>2.0998699999999482E-4</v>
      </c>
    </row>
    <row r="23" spans="1:12" x14ac:dyDescent="0.3">
      <c r="A23">
        <v>0.70322001000000001</v>
      </c>
      <c r="B23">
        <v>0.24979001300000001</v>
      </c>
      <c r="C23">
        <v>0.5</v>
      </c>
      <c r="E23">
        <v>0.70324003700000004</v>
      </c>
      <c r="F23">
        <v>0.25</v>
      </c>
      <c r="G23">
        <v>0.5</v>
      </c>
      <c r="H23">
        <f t="shared" si="0"/>
        <v>-2.0027000000033546E-5</v>
      </c>
      <c r="I23">
        <f t="shared" si="0"/>
        <v>-2.0998699999999482E-4</v>
      </c>
      <c r="J23">
        <v>-2.0998699999996706E-4</v>
      </c>
      <c r="K23">
        <f t="shared" si="1"/>
        <v>-4.1997399999996188E-4</v>
      </c>
      <c r="L23">
        <f t="shared" si="2"/>
        <v>-2.0998699999998094E-4</v>
      </c>
    </row>
    <row r="24" spans="1:12" x14ac:dyDescent="0.3">
      <c r="A24">
        <v>0.73447001000000001</v>
      </c>
      <c r="B24">
        <v>0.25020998700000002</v>
      </c>
      <c r="C24">
        <v>0.5</v>
      </c>
      <c r="E24">
        <v>0.73448997699999996</v>
      </c>
      <c r="F24">
        <v>0.25</v>
      </c>
      <c r="G24">
        <v>0.5</v>
      </c>
      <c r="H24">
        <f t="shared" si="0"/>
        <v>-1.9966999999954105E-5</v>
      </c>
      <c r="I24">
        <f t="shared" si="0"/>
        <v>2.0998700000002257E-4</v>
      </c>
      <c r="J24">
        <v>2.0998699999996706E-4</v>
      </c>
      <c r="K24">
        <f t="shared" si="1"/>
        <v>4.1997399999998963E-4</v>
      </c>
      <c r="L24">
        <f t="shared" si="2"/>
        <v>2.0998699999999482E-4</v>
      </c>
    </row>
    <row r="25" spans="1:12" x14ac:dyDescent="0.3">
      <c r="A25">
        <v>0.76572001000000001</v>
      </c>
      <c r="B25">
        <v>0.24980002600000001</v>
      </c>
      <c r="C25">
        <v>0.5</v>
      </c>
      <c r="E25">
        <v>0.76574003700000004</v>
      </c>
      <c r="F25">
        <v>0.25</v>
      </c>
      <c r="G25">
        <v>0.5</v>
      </c>
      <c r="H25">
        <f t="shared" si="0"/>
        <v>-2.0027000000033546E-5</v>
      </c>
      <c r="I25">
        <f t="shared" si="0"/>
        <v>-1.9997399999999166E-4</v>
      </c>
      <c r="J25">
        <v>-1.9997400000004717E-4</v>
      </c>
      <c r="K25">
        <f t="shared" si="1"/>
        <v>-3.9994800000003883E-4</v>
      </c>
      <c r="L25">
        <f t="shared" si="2"/>
        <v>-1.9997400000001941E-4</v>
      </c>
    </row>
    <row r="26" spans="1:12" x14ac:dyDescent="0.3">
      <c r="A26">
        <v>0.79697001000000001</v>
      </c>
      <c r="B26">
        <v>0.25018000600000001</v>
      </c>
      <c r="C26">
        <v>0.5</v>
      </c>
      <c r="E26">
        <v>0.79698997699999996</v>
      </c>
      <c r="F26">
        <v>0.25</v>
      </c>
      <c r="G26">
        <v>0.5</v>
      </c>
      <c r="H26">
        <f t="shared" si="0"/>
        <v>-1.9966999999954105E-5</v>
      </c>
      <c r="I26">
        <f t="shared" si="0"/>
        <v>1.8000600000001032E-4</v>
      </c>
      <c r="J26">
        <v>1.8000600000001032E-4</v>
      </c>
      <c r="K26">
        <f t="shared" si="1"/>
        <v>3.6001200000002065E-4</v>
      </c>
      <c r="L26">
        <f t="shared" si="2"/>
        <v>1.8000600000001032E-4</v>
      </c>
    </row>
    <row r="27" spans="1:12" x14ac:dyDescent="0.3">
      <c r="A27">
        <v>0.82822001000000001</v>
      </c>
      <c r="B27">
        <v>0.249840021</v>
      </c>
      <c r="C27">
        <v>0.5</v>
      </c>
      <c r="E27">
        <v>0.82824003700000004</v>
      </c>
      <c r="F27">
        <v>0.25</v>
      </c>
      <c r="G27">
        <v>0.5</v>
      </c>
      <c r="H27">
        <f t="shared" si="0"/>
        <v>-2.0027000000033546E-5</v>
      </c>
      <c r="I27">
        <f t="shared" si="0"/>
        <v>-1.5997900000000453E-4</v>
      </c>
      <c r="J27">
        <v>-1.5997899999997678E-4</v>
      </c>
      <c r="K27">
        <f t="shared" si="1"/>
        <v>-3.1995799999998131E-4</v>
      </c>
      <c r="L27">
        <f t="shared" si="2"/>
        <v>-1.5997899999999066E-4</v>
      </c>
    </row>
    <row r="28" spans="1:12" x14ac:dyDescent="0.3">
      <c r="A28">
        <v>0.85947001000000001</v>
      </c>
      <c r="B28">
        <v>0.25012999800000002</v>
      </c>
      <c r="C28">
        <v>0.5</v>
      </c>
      <c r="E28">
        <v>0.85948997699999996</v>
      </c>
      <c r="F28">
        <v>0.25</v>
      </c>
      <c r="G28">
        <v>0.5</v>
      </c>
      <c r="H28">
        <f t="shared" si="0"/>
        <v>-1.9966999999954105E-5</v>
      </c>
      <c r="I28">
        <f t="shared" si="0"/>
        <v>1.2999800000002004E-4</v>
      </c>
      <c r="J28">
        <v>1.2999800000002004E-4</v>
      </c>
      <c r="K28">
        <f t="shared" si="1"/>
        <v>2.5999600000004008E-4</v>
      </c>
      <c r="L28">
        <f t="shared" si="2"/>
        <v>1.2999800000002004E-4</v>
      </c>
    </row>
    <row r="29" spans="1:12" x14ac:dyDescent="0.3">
      <c r="A29">
        <v>0.89072001000000001</v>
      </c>
      <c r="B29">
        <v>0.24990999699999999</v>
      </c>
      <c r="C29">
        <v>0.5</v>
      </c>
      <c r="E29">
        <v>0.89074003700000004</v>
      </c>
      <c r="F29">
        <v>0.25</v>
      </c>
      <c r="G29">
        <v>0.5</v>
      </c>
      <c r="H29">
        <f t="shared" si="0"/>
        <v>-2.0027000000033546E-5</v>
      </c>
      <c r="I29">
        <f t="shared" si="0"/>
        <v>-9.0003000000005162E-5</v>
      </c>
      <c r="J29">
        <v>-9.0002999999949651E-5</v>
      </c>
      <c r="K29">
        <f t="shared" si="1"/>
        <v>-1.8000599999995481E-4</v>
      </c>
      <c r="L29">
        <f t="shared" si="2"/>
        <v>-9.0002999999977407E-5</v>
      </c>
    </row>
    <row r="30" spans="1:12" x14ac:dyDescent="0.3">
      <c r="A30">
        <v>0.92198002300000004</v>
      </c>
      <c r="B30">
        <v>0.25005000799999999</v>
      </c>
      <c r="C30">
        <v>0.5</v>
      </c>
      <c r="E30">
        <v>0.92198997699999996</v>
      </c>
      <c r="F30">
        <v>0.25</v>
      </c>
      <c r="G30">
        <v>0.5</v>
      </c>
      <c r="H30">
        <f t="shared" si="0"/>
        <v>-9.953999999923191E-6</v>
      </c>
      <c r="I30">
        <f t="shared" si="0"/>
        <v>5.0007999999990282E-5</v>
      </c>
      <c r="J30">
        <v>5.0007999999990282E-5</v>
      </c>
      <c r="K30">
        <f t="shared" si="1"/>
        <v>1.0001599999998056E-4</v>
      </c>
      <c r="L30">
        <f t="shared" si="2"/>
        <v>5.0007999999990282E-5</v>
      </c>
    </row>
    <row r="31" spans="1:12" x14ac:dyDescent="0.3">
      <c r="A31">
        <v>0.95323002300000004</v>
      </c>
      <c r="B31">
        <v>0.249989986</v>
      </c>
      <c r="C31">
        <v>0.5</v>
      </c>
      <c r="E31">
        <v>0.95324003700000004</v>
      </c>
      <c r="F31">
        <v>0.25</v>
      </c>
      <c r="G31">
        <v>0.5</v>
      </c>
      <c r="H31">
        <f t="shared" si="0"/>
        <v>-1.0014000000002632E-5</v>
      </c>
      <c r="I31">
        <f t="shared" si="0"/>
        <v>-1.0014000000002632E-5</v>
      </c>
      <c r="J31">
        <v>-1.0014000000002632E-5</v>
      </c>
      <c r="K31">
        <f t="shared" si="1"/>
        <v>-2.0028000000005264E-5</v>
      </c>
      <c r="L31">
        <f t="shared" si="2"/>
        <v>-1.0014000000002632E-5</v>
      </c>
    </row>
    <row r="32" spans="1:12" x14ac:dyDescent="0.3">
      <c r="A32">
        <v>0.98448002300000004</v>
      </c>
      <c r="B32">
        <v>0.249970004</v>
      </c>
      <c r="C32">
        <v>0.5</v>
      </c>
      <c r="E32">
        <v>0.98448997699999996</v>
      </c>
      <c r="F32">
        <v>0.25</v>
      </c>
      <c r="G32">
        <v>0.5</v>
      </c>
      <c r="H32">
        <f t="shared" si="0"/>
        <v>-9.953999999923191E-6</v>
      </c>
      <c r="I32">
        <f t="shared" si="0"/>
        <v>-2.9996000000004353E-5</v>
      </c>
      <c r="J32">
        <v>-3.0041000000036178E-5</v>
      </c>
      <c r="K32">
        <f t="shared" si="1"/>
        <v>-6.003700000004053E-5</v>
      </c>
      <c r="L32">
        <f t="shared" si="2"/>
        <v>-3.0018500000020265E-5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13BBE-C33E-4D64-B594-55B192887F25}">
  <dimension ref="A1:I32"/>
  <sheetViews>
    <sheetView workbookViewId="0">
      <selection activeCell="I1" sqref="I1:I32"/>
    </sheetView>
  </sheetViews>
  <sheetFormatPr defaultRowHeight="14" x14ac:dyDescent="0.3"/>
  <sheetData>
    <row r="1" spans="1:9" x14ac:dyDescent="0.3">
      <c r="A1">
        <v>1.575E-2</v>
      </c>
      <c r="B1">
        <v>0.75006997600000003</v>
      </c>
      <c r="C1">
        <v>0.5</v>
      </c>
      <c r="E1">
        <v>1.5740000000000001E-2</v>
      </c>
      <c r="F1">
        <v>0.75</v>
      </c>
      <c r="G1">
        <v>0.5</v>
      </c>
      <c r="H1">
        <f>A1-E1</f>
        <v>9.9999999999995925E-6</v>
      </c>
      <c r="I1">
        <f>B1-F1</f>
        <v>6.9976000000027128E-5</v>
      </c>
    </row>
    <row r="2" spans="1:9" x14ac:dyDescent="0.3">
      <c r="A2">
        <v>4.6989977000000002E-2</v>
      </c>
      <c r="B2">
        <v>0.74988997000000002</v>
      </c>
      <c r="C2">
        <v>0.5</v>
      </c>
      <c r="E2">
        <v>4.6989977000000002E-2</v>
      </c>
      <c r="F2">
        <v>0.75</v>
      </c>
      <c r="G2">
        <v>0.5</v>
      </c>
      <c r="H2">
        <f t="shared" ref="H2:I32" si="0">A2-E2</f>
        <v>0</v>
      </c>
      <c r="I2">
        <f t="shared" si="0"/>
        <v>-1.100299999999832E-4</v>
      </c>
    </row>
    <row r="3" spans="1:9" x14ac:dyDescent="0.3">
      <c r="A3">
        <v>7.8240000000000004E-2</v>
      </c>
      <c r="B3">
        <v>0.75015002500000005</v>
      </c>
      <c r="C3">
        <v>0.5</v>
      </c>
      <c r="E3">
        <v>7.8240000000000004E-2</v>
      </c>
      <c r="F3">
        <v>0.75</v>
      </c>
      <c r="G3">
        <v>0.5</v>
      </c>
      <c r="H3">
        <f t="shared" si="0"/>
        <v>0</v>
      </c>
      <c r="I3">
        <f t="shared" si="0"/>
        <v>1.5002500000005359E-4</v>
      </c>
    </row>
    <row r="4" spans="1:9" x14ac:dyDescent="0.3">
      <c r="A4">
        <v>0.109480023</v>
      </c>
      <c r="B4">
        <v>0.74983000799999999</v>
      </c>
      <c r="C4">
        <v>0.5</v>
      </c>
      <c r="E4">
        <v>0.109489977</v>
      </c>
      <c r="F4">
        <v>0.75</v>
      </c>
      <c r="G4">
        <v>0.5</v>
      </c>
      <c r="H4">
        <f t="shared" si="0"/>
        <v>-9.9540000000064577E-6</v>
      </c>
      <c r="I4">
        <f t="shared" si="0"/>
        <v>-1.6999200000000769E-4</v>
      </c>
    </row>
    <row r="5" spans="1:9" x14ac:dyDescent="0.3">
      <c r="A5">
        <v>0.140729994</v>
      </c>
      <c r="B5">
        <v>0.75019997400000005</v>
      </c>
      <c r="C5">
        <v>0.5</v>
      </c>
      <c r="E5">
        <v>0.140740007</v>
      </c>
      <c r="F5">
        <v>0.75</v>
      </c>
      <c r="G5">
        <v>0.5</v>
      </c>
      <c r="H5">
        <f t="shared" si="0"/>
        <v>-1.0013000000003158E-5</v>
      </c>
      <c r="I5">
        <f t="shared" si="0"/>
        <v>1.9997400000004717E-4</v>
      </c>
    </row>
    <row r="6" spans="1:9" x14ac:dyDescent="0.3">
      <c r="A6">
        <v>0.17198002300000001</v>
      </c>
      <c r="B6">
        <v>0.74979001300000003</v>
      </c>
      <c r="C6">
        <v>0.5</v>
      </c>
      <c r="E6">
        <v>0.17198997699999999</v>
      </c>
      <c r="F6">
        <v>0.75</v>
      </c>
      <c r="G6">
        <v>0.5</v>
      </c>
      <c r="H6">
        <f t="shared" si="0"/>
        <v>-9.9539999999787021E-6</v>
      </c>
      <c r="I6">
        <f t="shared" si="0"/>
        <v>-2.0998699999996706E-4</v>
      </c>
    </row>
    <row r="7" spans="1:9" x14ac:dyDescent="0.3">
      <c r="A7">
        <v>0.20321999499999999</v>
      </c>
      <c r="B7">
        <v>0.75020998699999997</v>
      </c>
      <c r="C7">
        <v>0.5</v>
      </c>
      <c r="E7">
        <v>0.203240007</v>
      </c>
      <c r="F7">
        <v>0.75</v>
      </c>
      <c r="G7">
        <v>0.5</v>
      </c>
      <c r="H7">
        <f t="shared" si="0"/>
        <v>-2.0012000000013686E-5</v>
      </c>
      <c r="I7">
        <f t="shared" si="0"/>
        <v>2.0998699999996706E-4</v>
      </c>
    </row>
    <row r="8" spans="1:9" x14ac:dyDescent="0.3">
      <c r="A8">
        <v>0.23447001000000001</v>
      </c>
      <c r="B8">
        <v>0.74979001300000003</v>
      </c>
      <c r="C8">
        <v>0.5</v>
      </c>
      <c r="E8">
        <v>0.23448997699999999</v>
      </c>
      <c r="F8">
        <v>0.75</v>
      </c>
      <c r="G8">
        <v>0.5</v>
      </c>
      <c r="H8">
        <f t="shared" si="0"/>
        <v>-1.996699999998186E-5</v>
      </c>
      <c r="I8">
        <f t="shared" si="0"/>
        <v>-2.0998699999996706E-4</v>
      </c>
    </row>
    <row r="9" spans="1:9" x14ac:dyDescent="0.3">
      <c r="A9">
        <v>0.26572001000000001</v>
      </c>
      <c r="B9">
        <v>0.75019997400000005</v>
      </c>
      <c r="C9">
        <v>0.5</v>
      </c>
      <c r="E9">
        <v>0.265740007</v>
      </c>
      <c r="F9">
        <v>0.75</v>
      </c>
      <c r="G9">
        <v>0.5</v>
      </c>
      <c r="H9">
        <f t="shared" si="0"/>
        <v>-1.9996999999993825E-5</v>
      </c>
      <c r="I9">
        <f t="shared" si="0"/>
        <v>1.9997400000004717E-4</v>
      </c>
    </row>
    <row r="10" spans="1:9" x14ac:dyDescent="0.3">
      <c r="A10">
        <v>0.29697001000000001</v>
      </c>
      <c r="B10">
        <v>0.74981999399999999</v>
      </c>
      <c r="C10">
        <v>0.5</v>
      </c>
      <c r="E10">
        <v>0.29698997700000002</v>
      </c>
      <c r="F10">
        <v>0.75</v>
      </c>
      <c r="G10">
        <v>0.5</v>
      </c>
      <c r="H10">
        <f t="shared" si="0"/>
        <v>-1.9967000000009616E-5</v>
      </c>
      <c r="I10">
        <f t="shared" si="0"/>
        <v>-1.8000600000001032E-4</v>
      </c>
    </row>
    <row r="11" spans="1:9" x14ac:dyDescent="0.3">
      <c r="A11">
        <v>0.32822001000000001</v>
      </c>
      <c r="B11">
        <v>0.75015997899999998</v>
      </c>
      <c r="C11">
        <v>0.5</v>
      </c>
      <c r="E11">
        <v>0.328240007</v>
      </c>
      <c r="F11">
        <v>0.75</v>
      </c>
      <c r="G11">
        <v>0.5</v>
      </c>
      <c r="H11">
        <f t="shared" si="0"/>
        <v>-1.9996999999993825E-5</v>
      </c>
      <c r="I11">
        <f t="shared" si="0"/>
        <v>1.5997899999997678E-4</v>
      </c>
    </row>
    <row r="12" spans="1:9" x14ac:dyDescent="0.3">
      <c r="A12">
        <v>0.35947001000000001</v>
      </c>
      <c r="B12">
        <v>0.74987000199999998</v>
      </c>
      <c r="C12">
        <v>0.5</v>
      </c>
      <c r="E12">
        <v>0.35948997700000002</v>
      </c>
      <c r="F12">
        <v>0.75</v>
      </c>
      <c r="G12">
        <v>0.5</v>
      </c>
      <c r="H12">
        <f t="shared" si="0"/>
        <v>-1.9967000000009616E-5</v>
      </c>
      <c r="I12">
        <f t="shared" si="0"/>
        <v>-1.2999800000002004E-4</v>
      </c>
    </row>
    <row r="13" spans="1:9" x14ac:dyDescent="0.3">
      <c r="A13">
        <v>0.39072001000000001</v>
      </c>
      <c r="B13">
        <v>0.75009000299999995</v>
      </c>
      <c r="C13">
        <v>0.5</v>
      </c>
      <c r="E13">
        <v>0.390740007</v>
      </c>
      <c r="F13">
        <v>0.75</v>
      </c>
      <c r="G13">
        <v>0.5</v>
      </c>
      <c r="H13">
        <f t="shared" si="0"/>
        <v>-1.9996999999993825E-5</v>
      </c>
      <c r="I13">
        <f t="shared" si="0"/>
        <v>9.0002999999949651E-5</v>
      </c>
    </row>
    <row r="14" spans="1:9" x14ac:dyDescent="0.3">
      <c r="A14">
        <v>0.42197999400000002</v>
      </c>
      <c r="B14">
        <v>0.74994999200000001</v>
      </c>
      <c r="C14">
        <v>0.5</v>
      </c>
      <c r="E14">
        <v>0.421990007</v>
      </c>
      <c r="F14">
        <v>0.75</v>
      </c>
      <c r="G14">
        <v>0.5</v>
      </c>
      <c r="H14">
        <f t="shared" si="0"/>
        <v>-1.0012999999975403E-5</v>
      </c>
      <c r="I14">
        <f t="shared" si="0"/>
        <v>-5.0007999999990282E-5</v>
      </c>
    </row>
    <row r="15" spans="1:9" x14ac:dyDescent="0.3">
      <c r="A15">
        <v>0.45322999400000002</v>
      </c>
      <c r="B15">
        <v>0.750010014</v>
      </c>
      <c r="C15">
        <v>0.5</v>
      </c>
      <c r="E15">
        <v>0.453240007</v>
      </c>
      <c r="F15">
        <v>0.75</v>
      </c>
      <c r="G15">
        <v>0.5</v>
      </c>
      <c r="H15">
        <f t="shared" si="0"/>
        <v>-1.0012999999975403E-5</v>
      </c>
      <c r="I15">
        <f t="shared" si="0"/>
        <v>1.0014000000002632E-5</v>
      </c>
    </row>
    <row r="16" spans="1:9" x14ac:dyDescent="0.3">
      <c r="A16">
        <v>0.48447999400000002</v>
      </c>
      <c r="B16">
        <v>0.75002998099999996</v>
      </c>
      <c r="C16">
        <v>0.5</v>
      </c>
      <c r="E16">
        <v>0.484490007</v>
      </c>
      <c r="F16">
        <v>0.75</v>
      </c>
      <c r="G16">
        <v>0.5</v>
      </c>
      <c r="H16">
        <f t="shared" si="0"/>
        <v>-1.0012999999975403E-5</v>
      </c>
      <c r="I16">
        <f t="shared" si="0"/>
        <v>2.9980999999956737E-5</v>
      </c>
    </row>
    <row r="17" spans="1:9" x14ac:dyDescent="0.3">
      <c r="A17">
        <v>0.51573997699999996</v>
      </c>
      <c r="B17">
        <v>0.74993002399999997</v>
      </c>
      <c r="C17">
        <v>0.5</v>
      </c>
      <c r="E17">
        <v>0.51573997699999996</v>
      </c>
      <c r="F17">
        <v>0.75</v>
      </c>
      <c r="G17">
        <v>0.5</v>
      </c>
      <c r="H17">
        <f t="shared" si="0"/>
        <v>0</v>
      </c>
      <c r="I17">
        <f t="shared" si="0"/>
        <v>-6.9976000000027128E-5</v>
      </c>
    </row>
    <row r="18" spans="1:9" x14ac:dyDescent="0.3">
      <c r="A18">
        <v>0.54698997699999996</v>
      </c>
      <c r="B18">
        <v>0.75011002999999998</v>
      </c>
      <c r="C18">
        <v>0.5</v>
      </c>
      <c r="E18">
        <v>0.54698997699999996</v>
      </c>
      <c r="F18">
        <v>0.75</v>
      </c>
      <c r="G18">
        <v>0.5</v>
      </c>
      <c r="H18">
        <f t="shared" si="0"/>
        <v>0</v>
      </c>
      <c r="I18">
        <f t="shared" si="0"/>
        <v>1.100299999999832E-4</v>
      </c>
    </row>
    <row r="19" spans="1:9" x14ac:dyDescent="0.3">
      <c r="A19">
        <v>0.57824999099999996</v>
      </c>
      <c r="B19">
        <v>0.74984997499999995</v>
      </c>
      <c r="C19">
        <v>0.5</v>
      </c>
      <c r="E19">
        <v>0.57823997699999996</v>
      </c>
      <c r="F19">
        <v>0.75</v>
      </c>
      <c r="G19">
        <v>0.5</v>
      </c>
      <c r="H19">
        <f t="shared" si="0"/>
        <v>1.0014000000002632E-5</v>
      </c>
      <c r="I19">
        <f t="shared" si="0"/>
        <v>-1.5002500000005359E-4</v>
      </c>
    </row>
    <row r="20" spans="1:9" x14ac:dyDescent="0.3">
      <c r="A20">
        <v>0.60949999099999996</v>
      </c>
      <c r="B20">
        <v>0.75016999200000001</v>
      </c>
      <c r="C20">
        <v>0.5</v>
      </c>
      <c r="E20">
        <v>0.60948997699999996</v>
      </c>
      <c r="F20">
        <v>0.75</v>
      </c>
      <c r="G20">
        <v>0.5</v>
      </c>
      <c r="H20">
        <f t="shared" si="0"/>
        <v>1.0014000000002632E-5</v>
      </c>
      <c r="I20">
        <f t="shared" si="0"/>
        <v>1.6999200000000769E-4</v>
      </c>
    </row>
    <row r="21" spans="1:9" x14ac:dyDescent="0.3">
      <c r="A21">
        <v>0.64074999099999996</v>
      </c>
      <c r="B21">
        <v>0.74980002599999995</v>
      </c>
      <c r="C21">
        <v>0.5</v>
      </c>
      <c r="E21">
        <v>0.64073997699999996</v>
      </c>
      <c r="F21">
        <v>0.75</v>
      </c>
      <c r="G21">
        <v>0.5</v>
      </c>
      <c r="H21">
        <f t="shared" si="0"/>
        <v>1.0014000000002632E-5</v>
      </c>
      <c r="I21">
        <f t="shared" si="0"/>
        <v>-1.9997400000004717E-4</v>
      </c>
    </row>
    <row r="22" spans="1:9" x14ac:dyDescent="0.3">
      <c r="A22">
        <v>0.67201000499999997</v>
      </c>
      <c r="B22">
        <v>0.75020998699999997</v>
      </c>
      <c r="C22">
        <v>0.5</v>
      </c>
      <c r="E22">
        <v>0.67199003700000004</v>
      </c>
      <c r="F22">
        <v>0.75</v>
      </c>
      <c r="G22">
        <v>0.5</v>
      </c>
      <c r="H22">
        <f t="shared" si="0"/>
        <v>1.9967999999925823E-5</v>
      </c>
      <c r="I22">
        <f t="shared" si="0"/>
        <v>2.0998699999996706E-4</v>
      </c>
    </row>
    <row r="23" spans="1:9" x14ac:dyDescent="0.3">
      <c r="A23">
        <v>0.70326000499999997</v>
      </c>
      <c r="B23">
        <v>0.74979001300000003</v>
      </c>
      <c r="C23">
        <v>0.5</v>
      </c>
      <c r="E23">
        <v>0.70323997699999996</v>
      </c>
      <c r="F23">
        <v>0.75</v>
      </c>
      <c r="G23">
        <v>0.5</v>
      </c>
      <c r="H23">
        <f t="shared" si="0"/>
        <v>2.0028000000005264E-5</v>
      </c>
      <c r="I23">
        <f t="shared" si="0"/>
        <v>-2.0998699999996706E-4</v>
      </c>
    </row>
    <row r="24" spans="1:9" x14ac:dyDescent="0.3">
      <c r="A24">
        <v>0.73451000499999997</v>
      </c>
      <c r="B24">
        <v>0.75020998699999997</v>
      </c>
      <c r="C24">
        <v>0.5</v>
      </c>
      <c r="E24">
        <v>0.73449003700000004</v>
      </c>
      <c r="F24">
        <v>0.75</v>
      </c>
      <c r="G24">
        <v>0.5</v>
      </c>
      <c r="H24">
        <f t="shared" si="0"/>
        <v>1.9967999999925823E-5</v>
      </c>
      <c r="I24">
        <f t="shared" si="0"/>
        <v>2.0998699999996706E-4</v>
      </c>
    </row>
    <row r="25" spans="1:9" x14ac:dyDescent="0.3">
      <c r="A25">
        <v>0.76576000499999997</v>
      </c>
      <c r="B25">
        <v>0.74980002599999995</v>
      </c>
      <c r="C25">
        <v>0.5</v>
      </c>
      <c r="E25">
        <v>0.76573997699999996</v>
      </c>
      <c r="F25">
        <v>0.75</v>
      </c>
      <c r="G25">
        <v>0.5</v>
      </c>
      <c r="H25">
        <f t="shared" si="0"/>
        <v>2.0028000000005264E-5</v>
      </c>
      <c r="I25">
        <f t="shared" si="0"/>
        <v>-1.9997400000004717E-4</v>
      </c>
    </row>
    <row r="26" spans="1:9" x14ac:dyDescent="0.3">
      <c r="A26">
        <v>0.79701000499999997</v>
      </c>
      <c r="B26">
        <v>0.75018000600000001</v>
      </c>
      <c r="C26">
        <v>0.5</v>
      </c>
      <c r="E26">
        <v>0.79699003700000004</v>
      </c>
      <c r="F26">
        <v>0.75</v>
      </c>
      <c r="G26">
        <v>0.5</v>
      </c>
      <c r="H26">
        <f t="shared" si="0"/>
        <v>1.9967999999925823E-5</v>
      </c>
      <c r="I26">
        <f t="shared" si="0"/>
        <v>1.8000600000001032E-4</v>
      </c>
    </row>
    <row r="27" spans="1:9" x14ac:dyDescent="0.3">
      <c r="A27">
        <v>0.82826000499999997</v>
      </c>
      <c r="B27">
        <v>0.74984002100000002</v>
      </c>
      <c r="C27">
        <v>0.5</v>
      </c>
      <c r="E27">
        <v>0.82823997699999996</v>
      </c>
      <c r="F27">
        <v>0.75</v>
      </c>
      <c r="G27">
        <v>0.5</v>
      </c>
      <c r="H27">
        <f t="shared" si="0"/>
        <v>2.0028000000005264E-5</v>
      </c>
      <c r="I27">
        <f t="shared" si="0"/>
        <v>-1.5997899999997678E-4</v>
      </c>
    </row>
    <row r="28" spans="1:9" x14ac:dyDescent="0.3">
      <c r="A28">
        <v>0.85951000499999997</v>
      </c>
      <c r="B28">
        <v>0.75012999800000002</v>
      </c>
      <c r="C28">
        <v>0.5</v>
      </c>
      <c r="E28">
        <v>0.85949003700000004</v>
      </c>
      <c r="F28">
        <v>0.75</v>
      </c>
      <c r="G28">
        <v>0.5</v>
      </c>
      <c r="H28">
        <f t="shared" si="0"/>
        <v>1.9967999999925823E-5</v>
      </c>
      <c r="I28">
        <f t="shared" si="0"/>
        <v>1.2999800000002004E-4</v>
      </c>
    </row>
    <row r="29" spans="1:9" x14ac:dyDescent="0.3">
      <c r="A29">
        <v>0.89076000499999997</v>
      </c>
      <c r="B29">
        <v>0.74990999700000005</v>
      </c>
      <c r="C29">
        <v>0.5</v>
      </c>
      <c r="E29">
        <v>0.89073997699999996</v>
      </c>
      <c r="F29">
        <v>0.75</v>
      </c>
      <c r="G29">
        <v>0.5</v>
      </c>
      <c r="H29">
        <f t="shared" si="0"/>
        <v>2.0028000000005264E-5</v>
      </c>
      <c r="I29">
        <f t="shared" si="0"/>
        <v>-9.0002999999949651E-5</v>
      </c>
    </row>
    <row r="30" spans="1:9" x14ac:dyDescent="0.3">
      <c r="A30">
        <v>0.92201000499999997</v>
      </c>
      <c r="B30">
        <v>0.75005000799999999</v>
      </c>
      <c r="C30">
        <v>0.5</v>
      </c>
      <c r="E30">
        <v>0.92199003700000004</v>
      </c>
      <c r="F30">
        <v>0.75</v>
      </c>
      <c r="G30">
        <v>0.5</v>
      </c>
      <c r="H30">
        <f t="shared" si="0"/>
        <v>1.9967999999925823E-5</v>
      </c>
      <c r="I30">
        <f t="shared" si="0"/>
        <v>5.0007999999990282E-5</v>
      </c>
    </row>
    <row r="31" spans="1:9" x14ac:dyDescent="0.3">
      <c r="A31">
        <v>0.95324999099999996</v>
      </c>
      <c r="B31">
        <v>0.749989986</v>
      </c>
      <c r="C31">
        <v>0.5</v>
      </c>
      <c r="E31">
        <v>0.95323997699999996</v>
      </c>
      <c r="F31">
        <v>0.75</v>
      </c>
      <c r="G31">
        <v>0.5</v>
      </c>
      <c r="H31">
        <f t="shared" si="0"/>
        <v>1.0014000000002632E-5</v>
      </c>
      <c r="I31">
        <f t="shared" si="0"/>
        <v>-1.0014000000002632E-5</v>
      </c>
    </row>
    <row r="32" spans="1:9" x14ac:dyDescent="0.3">
      <c r="A32">
        <v>0.98449999099999996</v>
      </c>
      <c r="B32">
        <v>0.74996995899999996</v>
      </c>
      <c r="C32">
        <v>0.5</v>
      </c>
      <c r="E32">
        <v>0.98449003700000004</v>
      </c>
      <c r="F32">
        <v>0.75</v>
      </c>
      <c r="G32">
        <v>0.5</v>
      </c>
      <c r="H32">
        <f t="shared" si="0"/>
        <v>9.953999999923191E-6</v>
      </c>
      <c r="I32">
        <f t="shared" si="0"/>
        <v>-3.0041000000036178E-5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F452B-0819-4D7B-9308-A58E440F81C9}">
  <dimension ref="A1:I32"/>
  <sheetViews>
    <sheetView workbookViewId="0">
      <selection activeCell="I1" sqref="I1:I32"/>
    </sheetView>
  </sheetViews>
  <sheetFormatPr defaultRowHeight="14" x14ac:dyDescent="0.3"/>
  <sheetData>
    <row r="1" spans="1:9" x14ac:dyDescent="0.3">
      <c r="A1">
        <v>1.2E-4</v>
      </c>
      <c r="B1">
        <v>0.50036001200000002</v>
      </c>
      <c r="C1">
        <v>0</v>
      </c>
      <c r="E1">
        <v>1.2E-4</v>
      </c>
      <c r="F1">
        <v>0.5</v>
      </c>
      <c r="G1">
        <v>0</v>
      </c>
      <c r="H1">
        <f>A1-E1</f>
        <v>0</v>
      </c>
      <c r="I1">
        <f>B1-F1</f>
        <v>3.6001200000002065E-4</v>
      </c>
    </row>
    <row r="2" spans="1:9" x14ac:dyDescent="0.3">
      <c r="A2">
        <v>3.1369999000000003E-2</v>
      </c>
      <c r="B2">
        <v>0.99974000500000004</v>
      </c>
      <c r="C2">
        <v>0</v>
      </c>
      <c r="E2">
        <v>3.1369999000000003E-2</v>
      </c>
      <c r="F2">
        <v>0</v>
      </c>
      <c r="G2">
        <v>0</v>
      </c>
      <c r="H2">
        <f t="shared" ref="H2:I32" si="0">A2-E2</f>
        <v>0</v>
      </c>
      <c r="I2">
        <f>B2-F2-1</f>
        <v>-2.5999499999995734E-4</v>
      </c>
    </row>
    <row r="3" spans="1:9" x14ac:dyDescent="0.3">
      <c r="A3">
        <v>6.2619998999999996E-2</v>
      </c>
      <c r="B3">
        <v>0.50014001100000005</v>
      </c>
      <c r="C3">
        <v>0</v>
      </c>
      <c r="E3">
        <v>6.2619998999999996E-2</v>
      </c>
      <c r="F3">
        <v>0.5</v>
      </c>
      <c r="G3">
        <v>0</v>
      </c>
      <c r="H3">
        <f t="shared" si="0"/>
        <v>0</v>
      </c>
      <c r="I3">
        <f t="shared" si="0"/>
        <v>1.4001100000005096E-4</v>
      </c>
    </row>
    <row r="4" spans="1:9" x14ac:dyDescent="0.3">
      <c r="A4">
        <v>9.3869998999999996E-2</v>
      </c>
      <c r="B4">
        <v>0.99997997299999997</v>
      </c>
      <c r="C4">
        <v>0</v>
      </c>
      <c r="E4">
        <v>9.3869998999999996E-2</v>
      </c>
      <c r="F4">
        <v>0</v>
      </c>
      <c r="G4">
        <v>0</v>
      </c>
      <c r="H4">
        <f t="shared" si="0"/>
        <v>0</v>
      </c>
      <c r="I4">
        <f>B4-F4-1</f>
        <v>-2.0027000000033546E-5</v>
      </c>
    </row>
    <row r="5" spans="1:9" x14ac:dyDescent="0.3">
      <c r="A5">
        <v>0.12511999900000001</v>
      </c>
      <c r="B5">
        <v>0.49990001299999998</v>
      </c>
      <c r="C5">
        <v>0</v>
      </c>
      <c r="E5">
        <v>0.12511999900000001</v>
      </c>
      <c r="F5">
        <v>0.5</v>
      </c>
      <c r="G5">
        <v>0</v>
      </c>
      <c r="H5">
        <f t="shared" si="0"/>
        <v>0</v>
      </c>
      <c r="I5">
        <f t="shared" si="0"/>
        <v>-9.9987000000023585E-5</v>
      </c>
    </row>
    <row r="6" spans="1:9" x14ac:dyDescent="0.3">
      <c r="A6">
        <v>0.15636999900000001</v>
      </c>
      <c r="B6">
        <v>2.2000000000000001E-4</v>
      </c>
      <c r="C6">
        <v>0</v>
      </c>
      <c r="E6">
        <v>0.15636999900000001</v>
      </c>
      <c r="F6">
        <v>0</v>
      </c>
      <c r="G6">
        <v>0</v>
      </c>
      <c r="H6">
        <f t="shared" si="0"/>
        <v>0</v>
      </c>
      <c r="I6">
        <f t="shared" si="0"/>
        <v>2.2000000000000001E-4</v>
      </c>
    </row>
    <row r="7" spans="1:9" x14ac:dyDescent="0.3">
      <c r="A7">
        <v>0.18761999900000001</v>
      </c>
      <c r="B7">
        <v>0.49966999899999998</v>
      </c>
      <c r="C7">
        <v>0</v>
      </c>
      <c r="E7">
        <v>0.18761999900000001</v>
      </c>
      <c r="F7">
        <v>0.5</v>
      </c>
      <c r="G7">
        <v>0</v>
      </c>
      <c r="H7">
        <f t="shared" si="0"/>
        <v>0</v>
      </c>
      <c r="I7">
        <f t="shared" si="0"/>
        <v>-3.3000100000002419E-4</v>
      </c>
    </row>
    <row r="8" spans="1:9" x14ac:dyDescent="0.3">
      <c r="A8">
        <v>0.21886999900000001</v>
      </c>
      <c r="B8">
        <v>4.2999999999999999E-4</v>
      </c>
      <c r="C8">
        <v>0</v>
      </c>
      <c r="E8">
        <v>0.21886999900000001</v>
      </c>
      <c r="F8">
        <v>0</v>
      </c>
      <c r="G8">
        <v>0</v>
      </c>
      <c r="H8">
        <f t="shared" si="0"/>
        <v>0</v>
      </c>
      <c r="I8">
        <f t="shared" si="0"/>
        <v>4.2999999999999999E-4</v>
      </c>
    </row>
    <row r="9" spans="1:9" x14ac:dyDescent="0.3">
      <c r="A9">
        <v>0.250120014</v>
      </c>
      <c r="B9">
        <v>0.49948999300000002</v>
      </c>
      <c r="C9">
        <v>0</v>
      </c>
      <c r="E9">
        <v>0.250120014</v>
      </c>
      <c r="F9">
        <v>0.5</v>
      </c>
      <c r="G9">
        <v>0</v>
      </c>
      <c r="H9">
        <f t="shared" si="0"/>
        <v>0</v>
      </c>
      <c r="I9">
        <f t="shared" si="0"/>
        <v>-5.10006999999979E-4</v>
      </c>
    </row>
    <row r="10" spans="1:9" x14ac:dyDescent="0.3">
      <c r="A10">
        <v>0.281370014</v>
      </c>
      <c r="B10">
        <v>5.6999999999999998E-4</v>
      </c>
      <c r="C10">
        <v>0</v>
      </c>
      <c r="E10">
        <v>0.281370014</v>
      </c>
      <c r="F10">
        <v>0</v>
      </c>
      <c r="G10">
        <v>0</v>
      </c>
      <c r="H10">
        <f t="shared" si="0"/>
        <v>0</v>
      </c>
      <c r="I10">
        <f t="shared" si="0"/>
        <v>5.6999999999999998E-4</v>
      </c>
    </row>
    <row r="11" spans="1:9" x14ac:dyDescent="0.3">
      <c r="A11">
        <v>0.312620014</v>
      </c>
      <c r="B11">
        <v>0.499390006</v>
      </c>
      <c r="C11">
        <v>0</v>
      </c>
      <c r="E11">
        <v>0.312620014</v>
      </c>
      <c r="F11">
        <v>0.5</v>
      </c>
      <c r="G11">
        <v>0</v>
      </c>
      <c r="H11">
        <f t="shared" si="0"/>
        <v>0</v>
      </c>
      <c r="I11">
        <f t="shared" si="0"/>
        <v>-6.0999400000000259E-4</v>
      </c>
    </row>
    <row r="12" spans="1:9" x14ac:dyDescent="0.3">
      <c r="A12">
        <v>0.343870014</v>
      </c>
      <c r="B12">
        <v>6.3000000000000003E-4</v>
      </c>
      <c r="C12">
        <v>0</v>
      </c>
      <c r="E12">
        <v>0.343870014</v>
      </c>
      <c r="F12">
        <v>0</v>
      </c>
      <c r="G12">
        <v>0</v>
      </c>
      <c r="H12">
        <f t="shared" si="0"/>
        <v>0</v>
      </c>
      <c r="I12">
        <f t="shared" si="0"/>
        <v>6.3000000000000003E-4</v>
      </c>
    </row>
    <row r="13" spans="1:9" x14ac:dyDescent="0.3">
      <c r="A13">
        <v>0.375120014</v>
      </c>
      <c r="B13">
        <v>0.49937999199999999</v>
      </c>
      <c r="C13">
        <v>0</v>
      </c>
      <c r="E13">
        <v>0.375120014</v>
      </c>
      <c r="F13">
        <v>0.5</v>
      </c>
      <c r="G13">
        <v>0</v>
      </c>
      <c r="H13">
        <f t="shared" si="0"/>
        <v>0</v>
      </c>
      <c r="I13">
        <f t="shared" si="0"/>
        <v>-6.2000800000000522E-4</v>
      </c>
    </row>
    <row r="14" spans="1:9" x14ac:dyDescent="0.3">
      <c r="A14">
        <v>0.406370014</v>
      </c>
      <c r="B14">
        <v>5.9000000000000003E-4</v>
      </c>
      <c r="C14">
        <v>0</v>
      </c>
      <c r="E14">
        <v>0.406370014</v>
      </c>
      <c r="F14">
        <v>0</v>
      </c>
      <c r="G14">
        <v>0</v>
      </c>
      <c r="H14">
        <f t="shared" si="0"/>
        <v>0</v>
      </c>
      <c r="I14">
        <f t="shared" si="0"/>
        <v>5.9000000000000003E-4</v>
      </c>
    </row>
    <row r="15" spans="1:9" x14ac:dyDescent="0.3">
      <c r="A15">
        <v>0.437620014</v>
      </c>
      <c r="B15">
        <v>0.499469995</v>
      </c>
      <c r="C15">
        <v>0</v>
      </c>
      <c r="E15">
        <v>0.437620014</v>
      </c>
      <c r="F15">
        <v>0.5</v>
      </c>
      <c r="G15">
        <v>0</v>
      </c>
      <c r="H15">
        <f t="shared" si="0"/>
        <v>0</v>
      </c>
      <c r="I15">
        <f t="shared" si="0"/>
        <v>-5.3000500000000006E-4</v>
      </c>
    </row>
    <row r="16" spans="1:9" x14ac:dyDescent="0.3">
      <c r="A16">
        <v>0.468870014</v>
      </c>
      <c r="B16">
        <v>4.6000000000000001E-4</v>
      </c>
      <c r="C16">
        <v>0</v>
      </c>
      <c r="E16">
        <v>0.468870014</v>
      </c>
      <c r="F16">
        <v>0</v>
      </c>
      <c r="G16">
        <v>0</v>
      </c>
      <c r="H16">
        <f t="shared" si="0"/>
        <v>0</v>
      </c>
      <c r="I16">
        <f t="shared" si="0"/>
        <v>4.6000000000000001E-4</v>
      </c>
    </row>
    <row r="17" spans="1:9" x14ac:dyDescent="0.3">
      <c r="A17">
        <v>0.50011998400000002</v>
      </c>
      <c r="B17">
        <v>0.49963998799999998</v>
      </c>
      <c r="C17">
        <v>0</v>
      </c>
      <c r="E17">
        <v>0.50011998400000002</v>
      </c>
      <c r="F17">
        <v>0.5</v>
      </c>
      <c r="G17">
        <v>0</v>
      </c>
      <c r="H17">
        <f t="shared" si="0"/>
        <v>0</v>
      </c>
      <c r="I17">
        <f t="shared" si="0"/>
        <v>-3.6001200000002065E-4</v>
      </c>
    </row>
    <row r="18" spans="1:9" x14ac:dyDescent="0.3">
      <c r="A18">
        <v>0.53136998400000002</v>
      </c>
      <c r="B18">
        <v>2.5999999999999998E-4</v>
      </c>
      <c r="C18">
        <v>0</v>
      </c>
      <c r="E18">
        <v>0.53136998400000002</v>
      </c>
      <c r="F18">
        <v>0</v>
      </c>
      <c r="G18">
        <v>0</v>
      </c>
      <c r="H18">
        <f t="shared" si="0"/>
        <v>0</v>
      </c>
      <c r="I18">
        <f t="shared" si="0"/>
        <v>2.5999999999999998E-4</v>
      </c>
    </row>
    <row r="19" spans="1:9" x14ac:dyDescent="0.3">
      <c r="A19">
        <v>0.56261998400000002</v>
      </c>
      <c r="B19">
        <v>0.499859989</v>
      </c>
      <c r="C19">
        <v>0</v>
      </c>
      <c r="E19">
        <v>0.56261998400000002</v>
      </c>
      <c r="F19">
        <v>0.5</v>
      </c>
      <c r="G19">
        <v>0</v>
      </c>
      <c r="H19">
        <f t="shared" si="0"/>
        <v>0</v>
      </c>
      <c r="I19">
        <f t="shared" si="0"/>
        <v>-1.4001099999999544E-4</v>
      </c>
    </row>
    <row r="20" spans="1:9" x14ac:dyDescent="0.3">
      <c r="A20">
        <v>0.59386998400000002</v>
      </c>
      <c r="B20">
        <v>2.0000000000000002E-5</v>
      </c>
      <c r="C20">
        <v>0</v>
      </c>
      <c r="E20">
        <v>0.59386998400000002</v>
      </c>
      <c r="F20">
        <v>0</v>
      </c>
      <c r="G20">
        <v>0</v>
      </c>
      <c r="H20">
        <f t="shared" si="0"/>
        <v>0</v>
      </c>
      <c r="I20">
        <f t="shared" si="0"/>
        <v>2.0000000000000002E-5</v>
      </c>
    </row>
    <row r="21" spans="1:9" x14ac:dyDescent="0.3">
      <c r="A21">
        <v>0.62511998400000002</v>
      </c>
      <c r="B21">
        <v>0.50010001699999995</v>
      </c>
      <c r="C21">
        <v>0</v>
      </c>
      <c r="E21">
        <v>0.62511998400000002</v>
      </c>
      <c r="F21">
        <v>0.5</v>
      </c>
      <c r="G21">
        <v>0</v>
      </c>
      <c r="H21">
        <f t="shared" si="0"/>
        <v>0</v>
      </c>
      <c r="I21">
        <f t="shared" si="0"/>
        <v>1.0001699999995228E-4</v>
      </c>
    </row>
    <row r="22" spans="1:9" x14ac:dyDescent="0.3">
      <c r="A22">
        <v>0.65636998400000002</v>
      </c>
      <c r="B22">
        <v>0.99977999900000003</v>
      </c>
      <c r="C22">
        <v>0</v>
      </c>
      <c r="E22">
        <v>0.65636998400000002</v>
      </c>
      <c r="F22">
        <v>0</v>
      </c>
      <c r="G22">
        <v>0</v>
      </c>
      <c r="H22">
        <f t="shared" si="0"/>
        <v>0</v>
      </c>
      <c r="I22">
        <f>B22-F22-1</f>
        <v>-2.2000099999996969E-4</v>
      </c>
    </row>
    <row r="23" spans="1:9" x14ac:dyDescent="0.3">
      <c r="A23">
        <v>0.68761998400000002</v>
      </c>
      <c r="B23">
        <v>0.50032997099999998</v>
      </c>
      <c r="C23">
        <v>0</v>
      </c>
      <c r="E23">
        <v>0.68761998400000002</v>
      </c>
      <c r="F23">
        <v>0.5</v>
      </c>
      <c r="G23">
        <v>0</v>
      </c>
      <c r="H23">
        <f t="shared" si="0"/>
        <v>0</v>
      </c>
      <c r="I23">
        <f t="shared" si="0"/>
        <v>3.2997099999998447E-4</v>
      </c>
    </row>
    <row r="24" spans="1:9" x14ac:dyDescent="0.3">
      <c r="A24">
        <v>0.71886998400000002</v>
      </c>
      <c r="B24">
        <v>0.99957001199999995</v>
      </c>
      <c r="C24">
        <v>0</v>
      </c>
      <c r="E24">
        <v>0.71886998400000002</v>
      </c>
      <c r="F24">
        <v>0</v>
      </c>
      <c r="G24">
        <v>0</v>
      </c>
      <c r="H24">
        <f t="shared" si="0"/>
        <v>0</v>
      </c>
      <c r="I24">
        <f>B24-F24-1</f>
        <v>-4.2998800000004778E-4</v>
      </c>
    </row>
    <row r="25" spans="1:9" x14ac:dyDescent="0.3">
      <c r="A25">
        <v>0.75012004399999999</v>
      </c>
      <c r="B25">
        <v>0.50050997699999999</v>
      </c>
      <c r="C25">
        <v>0</v>
      </c>
      <c r="E25">
        <v>0.75012004399999999</v>
      </c>
      <c r="F25">
        <v>0.5</v>
      </c>
      <c r="G25">
        <v>0</v>
      </c>
      <c r="H25">
        <f t="shared" si="0"/>
        <v>0</v>
      </c>
      <c r="I25">
        <f t="shared" si="0"/>
        <v>5.099769999999948E-4</v>
      </c>
    </row>
    <row r="26" spans="1:9" x14ac:dyDescent="0.3">
      <c r="A26">
        <v>0.78137004399999999</v>
      </c>
      <c r="B26">
        <v>0.99943000100000001</v>
      </c>
      <c r="C26">
        <v>0</v>
      </c>
      <c r="E26">
        <v>0.78137004399999999</v>
      </c>
      <c r="F26">
        <v>0</v>
      </c>
      <c r="G26">
        <v>0</v>
      </c>
      <c r="H26">
        <f t="shared" si="0"/>
        <v>0</v>
      </c>
      <c r="I26">
        <f>B26-F26-1</f>
        <v>-5.6999899999998771E-4</v>
      </c>
    </row>
    <row r="27" spans="1:9" x14ac:dyDescent="0.3">
      <c r="A27">
        <v>0.81262004399999999</v>
      </c>
      <c r="B27">
        <v>0.50060999399999995</v>
      </c>
      <c r="C27">
        <v>0</v>
      </c>
      <c r="E27">
        <v>0.81262004399999999</v>
      </c>
      <c r="F27">
        <v>0.5</v>
      </c>
      <c r="G27">
        <v>0</v>
      </c>
      <c r="H27">
        <f t="shared" si="0"/>
        <v>0</v>
      </c>
      <c r="I27">
        <f t="shared" si="0"/>
        <v>6.0999399999994708E-4</v>
      </c>
    </row>
    <row r="28" spans="1:9" x14ac:dyDescent="0.3">
      <c r="A28">
        <v>0.84387004399999999</v>
      </c>
      <c r="B28">
        <v>0.99936997900000002</v>
      </c>
      <c r="C28">
        <v>0</v>
      </c>
      <c r="E28">
        <v>0.84387004399999999</v>
      </c>
      <c r="F28">
        <v>0</v>
      </c>
      <c r="G28">
        <v>0</v>
      </c>
      <c r="H28">
        <f t="shared" si="0"/>
        <v>0</v>
      </c>
      <c r="I28">
        <f>B28-F28-1</f>
        <v>-6.3002099999998062E-4</v>
      </c>
    </row>
    <row r="29" spans="1:9" x14ac:dyDescent="0.3">
      <c r="A29">
        <v>0.87512004399999999</v>
      </c>
      <c r="B29">
        <v>0.50062000799999995</v>
      </c>
      <c r="C29">
        <v>0</v>
      </c>
      <c r="E29">
        <v>0.87512004399999999</v>
      </c>
      <c r="F29">
        <v>0.5</v>
      </c>
      <c r="G29">
        <v>0</v>
      </c>
      <c r="H29">
        <f t="shared" si="0"/>
        <v>0</v>
      </c>
      <c r="I29">
        <f t="shared" si="0"/>
        <v>6.2000799999994971E-4</v>
      </c>
    </row>
    <row r="30" spans="1:9" x14ac:dyDescent="0.3">
      <c r="A30">
        <v>0.90637004399999999</v>
      </c>
      <c r="B30">
        <v>0.99940997399999998</v>
      </c>
      <c r="C30">
        <v>0</v>
      </c>
      <c r="E30">
        <v>0.90637004399999999</v>
      </c>
      <c r="F30">
        <v>0</v>
      </c>
      <c r="G30">
        <v>0</v>
      </c>
      <c r="H30">
        <f t="shared" si="0"/>
        <v>0</v>
      </c>
      <c r="I30">
        <f>B30-F30-1</f>
        <v>-5.9002600000002126E-4</v>
      </c>
    </row>
    <row r="31" spans="1:9" x14ac:dyDescent="0.3">
      <c r="A31">
        <v>0.93762004399999999</v>
      </c>
      <c r="B31">
        <v>0.500530005</v>
      </c>
      <c r="C31">
        <v>0</v>
      </c>
      <c r="E31">
        <v>0.93762004399999999</v>
      </c>
      <c r="F31">
        <v>0.5</v>
      </c>
      <c r="G31">
        <v>0</v>
      </c>
      <c r="H31">
        <f t="shared" si="0"/>
        <v>0</v>
      </c>
      <c r="I31">
        <f t="shared" si="0"/>
        <v>5.3000500000000006E-4</v>
      </c>
    </row>
    <row r="32" spans="1:9" x14ac:dyDescent="0.3">
      <c r="A32">
        <v>0.96887004399999999</v>
      </c>
      <c r="B32">
        <v>0.99953997100000003</v>
      </c>
      <c r="C32">
        <v>0</v>
      </c>
      <c r="E32">
        <v>0.96887004399999999</v>
      </c>
      <c r="F32">
        <v>0</v>
      </c>
      <c r="G32">
        <v>0</v>
      </c>
      <c r="H32">
        <f t="shared" si="0"/>
        <v>0</v>
      </c>
      <c r="I32">
        <f>B32-F32-1</f>
        <v>-4.6002899999997293E-4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C5373-E975-4B09-B5F8-156A4EFFA53C}">
  <dimension ref="B1:I33"/>
  <sheetViews>
    <sheetView topLeftCell="A14" workbookViewId="0">
      <selection activeCell="I2" sqref="I2:I33"/>
    </sheetView>
  </sheetViews>
  <sheetFormatPr defaultRowHeight="14" x14ac:dyDescent="0.3"/>
  <sheetData>
    <row r="1" spans="2:9" x14ac:dyDescent="0.3">
      <c r="B1" t="s">
        <v>0</v>
      </c>
      <c r="C1" t="s">
        <v>1</v>
      </c>
      <c r="D1" t="s">
        <v>2</v>
      </c>
      <c r="E1" t="s">
        <v>3</v>
      </c>
    </row>
    <row r="2" spans="2:9" x14ac:dyDescent="0.3">
      <c r="B2">
        <v>-9.1999799999997744E-4</v>
      </c>
      <c r="C2">
        <v>-3.4999800000001802E-4</v>
      </c>
      <c r="D2">
        <v>6.9976000000027128E-5</v>
      </c>
      <c r="E2">
        <v>3.6001200000002065E-4</v>
      </c>
      <c r="F2">
        <f>[1]Sheet8!B2+[1]Sheet8!C2+[1]Sheet8!E2</f>
        <v>1.2900010000000788E-3</v>
      </c>
      <c r="G2">
        <f>F2+[1]Sheet8!D2+[1]Sheet8!D33</f>
        <v>1.2800020000000682E-3</v>
      </c>
      <c r="H2">
        <v>5.5923399925000004</v>
      </c>
      <c r="I2" s="1">
        <f>G2*H2</f>
        <v>7.1582063750803672E-3</v>
      </c>
    </row>
    <row r="3" spans="2:9" x14ac:dyDescent="0.3">
      <c r="B3">
        <v>6.9999700000000775E-4</v>
      </c>
      <c r="C3">
        <v>2.7E-4</v>
      </c>
      <c r="D3">
        <v>-1.1001499999999109E-4</v>
      </c>
      <c r="E3">
        <v>-2.5999499999995734E-4</v>
      </c>
      <c r="F3">
        <f>[1]Sheet8!B3+[1]Sheet8!C3+[1]Sheet8!E3</f>
        <v>6.5998499999998708E-4</v>
      </c>
      <c r="G3">
        <f>F3+[1]Sheet8!D2+[1]Sheet8!D3</f>
        <v>2.0000099999999046E-4</v>
      </c>
      <c r="H3">
        <v>5.5923399925000004</v>
      </c>
      <c r="I3">
        <f>G3*H3</f>
        <v>1.1184735908399393E-3</v>
      </c>
    </row>
    <row r="4" spans="2:9" x14ac:dyDescent="0.3">
      <c r="B4">
        <v>-4.4000099999996767E-4</v>
      </c>
      <c r="C4">
        <v>-1.6999200000000769E-4</v>
      </c>
      <c r="D4">
        <v>1.5002500000002583E-4</v>
      </c>
      <c r="E4">
        <v>1.4001100000005096E-4</v>
      </c>
      <c r="F4">
        <f>[1]Sheet8!B4+[1]Sheet8!C4+[1]Sheet8!E4</f>
        <v>-2.0300150000000516E-3</v>
      </c>
      <c r="G4">
        <f>F4+[1]Sheet8!D3+[1]Sheet8!D4</f>
        <v>-1.5199930000000528E-3</v>
      </c>
      <c r="H4">
        <v>5.5923399925000004</v>
      </c>
      <c r="I4" s="1">
        <f>G4*H4</f>
        <v>-8.5003176422203484E-3</v>
      </c>
    </row>
    <row r="5" spans="2:9" x14ac:dyDescent="0.3">
      <c r="B5">
        <v>1.6999200000000769E-4</v>
      </c>
      <c r="C5">
        <v>8.0000000000000007E-5</v>
      </c>
      <c r="D5">
        <v>-1.6999950000000374E-4</v>
      </c>
      <c r="E5">
        <v>-2.0027000000033546E-5</v>
      </c>
      <c r="F5">
        <f>[1]Sheet8!B5+[1]Sheet8!C5+[1]Sheet8!E5</f>
        <v>1.579981999999995E-3</v>
      </c>
      <c r="G5">
        <f>F5+[1]Sheet8!D4+[1]Sheet8!D5</f>
        <v>1.4700035000000124E-3</v>
      </c>
      <c r="H5">
        <v>5.5923399925000004</v>
      </c>
      <c r="I5">
        <f>G5*H5</f>
        <v>8.2207593621650438E-3</v>
      </c>
    </row>
    <row r="6" spans="2:9" x14ac:dyDescent="0.3">
      <c r="B6">
        <v>1E-4</v>
      </c>
      <c r="C6">
        <v>2.9980999999956737E-5</v>
      </c>
      <c r="D6">
        <v>1.9997400000001941E-4</v>
      </c>
      <c r="E6">
        <v>-9.9987000000023585E-5</v>
      </c>
      <c r="F6">
        <f>[1]Sheet8!B6+[1]Sheet8!C6+[1]Sheet8!E6</f>
        <v>2.4998400000000246E-4</v>
      </c>
      <c r="G6">
        <f>F6+[1]Sheet8!D5+[1]Sheet8!D6</f>
        <v>-1.4001749999997045E-4</v>
      </c>
      <c r="H6">
        <v>5.5923399925000004</v>
      </c>
      <c r="I6" s="1">
        <f>G6*H6</f>
        <v>-7.830254648997035E-4</v>
      </c>
    </row>
    <row r="7" spans="2:9" x14ac:dyDescent="0.3">
      <c r="B7">
        <v>-3.6999599999998356E-4</v>
      </c>
      <c r="C7">
        <v>-1.2999800000002004E-4</v>
      </c>
      <c r="D7">
        <v>-2.0999449999997699E-4</v>
      </c>
      <c r="E7">
        <v>2.2000000000000001E-4</v>
      </c>
      <c r="F7">
        <f>[1]Sheet8!B7+[1]Sheet8!C7+[1]Sheet8!E7</f>
        <v>-1.8699849999999703E-3</v>
      </c>
      <c r="G7">
        <f>F7+[1]Sheet8!D6+[1]Sheet8!D7</f>
        <v>-1.3299819999999592E-3</v>
      </c>
      <c r="H7">
        <v>5.5923399925000004</v>
      </c>
      <c r="I7">
        <f>G7*H7</f>
        <v>-7.4377115279049069E-3</v>
      </c>
    </row>
    <row r="8" spans="2:9" x14ac:dyDescent="0.3">
      <c r="B8">
        <v>6.3000000000000003E-4</v>
      </c>
      <c r="C8">
        <v>2.2000099999996969E-4</v>
      </c>
      <c r="D8">
        <v>2.0998699999999482E-4</v>
      </c>
      <c r="E8">
        <v>-3.3000100000002419E-4</v>
      </c>
      <c r="F8">
        <f>[1]Sheet8!B8+[1]Sheet8!C8+[1]Sheet8!E8</f>
        <v>1.81997100000004E-3</v>
      </c>
      <c r="G8">
        <f>F8+[1]Sheet8!D7+[1]Sheet8!D8</f>
        <v>1.6099690000000531E-3</v>
      </c>
      <c r="H8">
        <v>5.5923399925000004</v>
      </c>
      <c r="I8" s="1">
        <f>G8*H8</f>
        <v>9.0034940253855295E-3</v>
      </c>
    </row>
    <row r="9" spans="2:9" x14ac:dyDescent="0.3">
      <c r="B9">
        <v>-8.6000600000002425E-4</v>
      </c>
      <c r="C9">
        <v>-3.1000400000003037E-4</v>
      </c>
      <c r="D9">
        <v>-2.0999449999997699E-4</v>
      </c>
      <c r="E9">
        <v>4.2999999999999999E-4</v>
      </c>
      <c r="F9">
        <f>[1]Sheet8!B9+[1]Sheet8!C9+[1]Sheet8!E9</f>
        <v>-1.4999300000009043E-4</v>
      </c>
      <c r="G9">
        <f>F9+[1]Sheet8!D8+[1]Sheet8!D9</f>
        <v>-4.4999800000011022E-4</v>
      </c>
      <c r="H9">
        <v>5.5923399925000004</v>
      </c>
      <c r="I9">
        <f>G9*H9</f>
        <v>-2.5165418119456316E-3</v>
      </c>
    </row>
    <row r="10" spans="2:9" x14ac:dyDescent="0.3">
      <c r="B10">
        <v>1.06E-3</v>
      </c>
      <c r="C10">
        <v>3.8999299999997739E-4</v>
      </c>
      <c r="D10">
        <v>1.9997400000001941E-4</v>
      </c>
      <c r="E10">
        <v>-5.10006999999979E-4</v>
      </c>
      <c r="F10">
        <f>[1]Sheet8!B10+[1]Sheet8!C10+[1]Sheet8!E10</f>
        <v>-1.6500050000000099E-3</v>
      </c>
      <c r="G10">
        <f>F10+[1]Sheet8!D9+[1]Sheet8!D10</f>
        <v>-1.0999880000000517E-3</v>
      </c>
      <c r="H10">
        <v>5.5923399925000004</v>
      </c>
      <c r="I10" s="1">
        <f>G10*H10</f>
        <v>-6.1515068836703792E-3</v>
      </c>
    </row>
    <row r="11" spans="2:9" x14ac:dyDescent="0.3">
      <c r="B11">
        <v>-1.2199880000000052E-3</v>
      </c>
      <c r="C11">
        <v>-4.500149999999703E-4</v>
      </c>
      <c r="D11">
        <v>-1.8000600000001032E-4</v>
      </c>
      <c r="E11">
        <v>5.6999999999999998E-4</v>
      </c>
      <c r="F11">
        <f>[1]Sheet8!B11+[1]Sheet8!C11+[1]Sheet8!E11</f>
        <v>1.9899959999999956E-3</v>
      </c>
      <c r="G11">
        <f>F11+[1]Sheet8!D10+[1]Sheet8!D11</f>
        <v>1.6799994999999891E-3</v>
      </c>
      <c r="H11">
        <v>5.5923399925000004</v>
      </c>
      <c r="I11">
        <f>G11*H11</f>
        <v>9.3951283912299434E-3</v>
      </c>
    </row>
    <row r="12" spans="2:9" x14ac:dyDescent="0.3">
      <c r="B12">
        <v>1.34E-3</v>
      </c>
      <c r="C12">
        <v>4.9001000000004069E-4</v>
      </c>
      <c r="D12">
        <v>1.5997899999997678E-4</v>
      </c>
      <c r="E12">
        <v>-6.0999400000000259E-4</v>
      </c>
      <c r="F12">
        <f>[1]Sheet8!B12+[1]Sheet8!C12+[1]Sheet8!E12</f>
        <v>-5.5000199999999388E-4</v>
      </c>
      <c r="G12">
        <f>F12+[1]Sheet8!D11+[1]Sheet8!D12</f>
        <v>-7.5998149999996489E-4</v>
      </c>
      <c r="H12">
        <v>5.5923399925000004</v>
      </c>
      <c r="I12" s="1">
        <f>G12*H12</f>
        <v>-4.2500749360099427E-3</v>
      </c>
    </row>
    <row r="13" spans="2:9" x14ac:dyDescent="0.3">
      <c r="B13">
        <v>-1.3999940000000155E-3</v>
      </c>
      <c r="C13">
        <v>-5.1999099999999743E-4</v>
      </c>
      <c r="D13">
        <v>-1.2999800000000616E-4</v>
      </c>
      <c r="E13">
        <v>6.3000000000000003E-4</v>
      </c>
      <c r="F13">
        <f>[1]Sheet8!B13+[1]Sheet8!C13+[1]Sheet8!E13</f>
        <v>-1.3699909999999667E-3</v>
      </c>
      <c r="G13">
        <f>F13+[1]Sheet8!D12+[1]Sheet8!D13</f>
        <v>-8.2997299999993572E-4</v>
      </c>
      <c r="H13">
        <v>5.5923399925000004</v>
      </c>
      <c r="I13">
        <f>G13*H13</f>
        <v>-4.641491200594843E-3</v>
      </c>
    </row>
    <row r="14" spans="2:9" x14ac:dyDescent="0.3">
      <c r="B14">
        <v>1.4E-3</v>
      </c>
      <c r="C14">
        <v>5.1999099999999743E-4</v>
      </c>
      <c r="D14">
        <v>9.0002999999977407E-5</v>
      </c>
      <c r="E14">
        <v>-6.2000800000000522E-4</v>
      </c>
      <c r="F14">
        <f>[1]Sheet8!B14+[1]Sheet8!C14+[1]Sheet8!E14</f>
        <v>2.0799760000000259E-3</v>
      </c>
      <c r="G14">
        <f>F14+[1]Sheet8!D13+[1]Sheet8!D14</f>
        <v>1.689982000000049E-3</v>
      </c>
      <c r="H14">
        <v>5.5923399925000004</v>
      </c>
      <c r="I14" s="1">
        <f>G14*H14</f>
        <v>9.4509539252054103E-3</v>
      </c>
    </row>
    <row r="15" spans="2:9" x14ac:dyDescent="0.3">
      <c r="B15">
        <v>-1.3599990000000006E-3</v>
      </c>
      <c r="C15">
        <v>-5.099769999999948E-4</v>
      </c>
      <c r="D15">
        <v>-5.000049999999423E-5</v>
      </c>
      <c r="E15">
        <v>5.9000000000000003E-4</v>
      </c>
      <c r="F15">
        <f>[1]Sheet8!B15+[1]Sheet8!C15+[1]Sheet8!E15</f>
        <v>-9.3004099999999257E-4</v>
      </c>
      <c r="G15">
        <f>F15+[1]Sheet8!D14+[1]Sheet8!D15</f>
        <v>-1.0400269999999989E-3</v>
      </c>
      <c r="H15">
        <v>5.5923399925000004</v>
      </c>
      <c r="I15">
        <f>G15*H15</f>
        <v>-5.8161845853797918E-3</v>
      </c>
    </row>
    <row r="16" spans="2:9" x14ac:dyDescent="0.3">
      <c r="B16">
        <v>1.2600000000000001E-3</v>
      </c>
      <c r="C16">
        <v>4.6998300000000715E-4</v>
      </c>
      <c r="D16">
        <v>1.0014000000002632E-5</v>
      </c>
      <c r="E16">
        <v>-5.3000500000000006E-4</v>
      </c>
      <c r="F16">
        <f>[1]Sheet8!B16+[1]Sheet8!C16+[1]Sheet8!E16</f>
        <v>-1.0299970000000047E-3</v>
      </c>
      <c r="G16">
        <f>F16+[1]Sheet8!D15+[1]Sheet8!D16</f>
        <v>-5.2998900000003624E-4</v>
      </c>
      <c r="H16">
        <v>5.5923399925000004</v>
      </c>
      <c r="I16" s="1">
        <f>G16*H16</f>
        <v>-2.9638786802852852E-3</v>
      </c>
    </row>
    <row r="17" spans="2:9" x14ac:dyDescent="0.3">
      <c r="B17">
        <v>-1.1100170000000187E-3</v>
      </c>
      <c r="C17">
        <v>-4.1997400000004514E-4</v>
      </c>
      <c r="D17">
        <v>2.9995999999976597E-5</v>
      </c>
      <c r="E17">
        <v>4.6000000000000001E-4</v>
      </c>
      <c r="F17">
        <f>[1]Sheet8!B17+[1]Sheet8!C17+[1]Sheet8!E17</f>
        <v>2.0899769999999521E-3</v>
      </c>
      <c r="G17">
        <f>F17+[1]Sheet8!D16+[1]Sheet8!D17</f>
        <v>1.6299929999999416E-3</v>
      </c>
      <c r="H17">
        <v>5.5923399925000004</v>
      </c>
      <c r="I17">
        <f>G17*H17</f>
        <v>9.1154750413947258E-3</v>
      </c>
    </row>
    <row r="18" spans="2:9" x14ac:dyDescent="0.3">
      <c r="B18">
        <v>9.2000000000000003E-4</v>
      </c>
      <c r="C18">
        <v>3.4999800000001802E-4</v>
      </c>
      <c r="D18">
        <v>-6.997600000001325E-5</v>
      </c>
      <c r="E18">
        <v>-3.6001200000002065E-4</v>
      </c>
      <c r="F18">
        <f>[1]Sheet8!B18+[1]Sheet8!C18+[1]Sheet8!E18</f>
        <v>-1.290022999999918E-3</v>
      </c>
      <c r="G18">
        <f>F18+[1]Sheet8!D17+[1]Sheet8!D18</f>
        <v>-1.2800239999999213E-3</v>
      </c>
      <c r="H18">
        <v>5.5923399925000004</v>
      </c>
      <c r="I18" s="1">
        <f>G18*H18</f>
        <v>-7.1583294065593805E-3</v>
      </c>
    </row>
    <row r="19" spans="2:9" x14ac:dyDescent="0.3">
      <c r="B19">
        <v>-6.9999700000000775E-4</v>
      </c>
      <c r="C19">
        <v>-2.7000899999995998E-4</v>
      </c>
      <c r="D19">
        <v>1.1001499999999109E-4</v>
      </c>
      <c r="E19">
        <v>2.5999999999999998E-4</v>
      </c>
      <c r="F19">
        <f>[1]Sheet8!B19+[1]Sheet8!C19+[1]Sheet8!E19</f>
        <v>-6.600259999999231E-4</v>
      </c>
      <c r="G19">
        <f>F19+[1]Sheet8!D18+[1]Sheet8!D19</f>
        <v>-2.0001949999993833E-4</v>
      </c>
      <c r="H19">
        <v>5.5923399925000004</v>
      </c>
      <c r="I19">
        <f>G19*H19</f>
        <v>-1.118577049129509E-3</v>
      </c>
    </row>
    <row r="20" spans="2:9" x14ac:dyDescent="0.3">
      <c r="B20">
        <v>4.4000000000000002E-4</v>
      </c>
      <c r="C20">
        <v>1.6999200000000769E-4</v>
      </c>
      <c r="D20">
        <v>-1.5002500000002583E-4</v>
      </c>
      <c r="E20">
        <v>-1.4001099999999544E-4</v>
      </c>
      <c r="F20">
        <f>[1]Sheet8!B20+[1]Sheet8!C20+[1]Sheet8!E20</f>
        <v>2.0299999999999446E-3</v>
      </c>
      <c r="G20">
        <f>F20+[1]Sheet8!D19+[1]Sheet8!D20</f>
        <v>1.5200004999999478E-3</v>
      </c>
      <c r="H20">
        <v>5.5923399925000004</v>
      </c>
      <c r="I20" s="1">
        <f>G20*H20</f>
        <v>8.5003595847697056E-3</v>
      </c>
    </row>
    <row r="21" spans="2:9" x14ac:dyDescent="0.3">
      <c r="B21">
        <v>-1.6999200000000769E-4</v>
      </c>
      <c r="C21">
        <v>-7.9988999999947019E-5</v>
      </c>
      <c r="D21">
        <v>1.6999200000000769E-4</v>
      </c>
      <c r="E21">
        <v>2.0000000000000002E-5</v>
      </c>
      <c r="F21">
        <f>[1]Sheet8!B21+[1]Sheet8!C21+[1]Sheet8!E21</f>
        <v>-1.5800250000000239E-3</v>
      </c>
      <c r="G21">
        <f>F21+[1]Sheet8!D20+[1]Sheet8!D21</f>
        <v>-1.4700540000000236E-3</v>
      </c>
      <c r="H21">
        <v>5.5923399925000004</v>
      </c>
      <c r="I21">
        <f>G21*H21</f>
        <v>-8.2210417753347271E-3</v>
      </c>
    </row>
    <row r="22" spans="2:9" x14ac:dyDescent="0.3">
      <c r="B22">
        <v>-1.0001699999995228E-4</v>
      </c>
      <c r="C22">
        <v>-2.9981000000012248E-5</v>
      </c>
      <c r="D22">
        <v>-1.9997400000001941E-4</v>
      </c>
      <c r="E22">
        <v>1.0001699999995228E-4</v>
      </c>
      <c r="F22">
        <f>[1]Sheet8!B22+[1]Sheet8!C22+[1]Sheet8!E22</f>
        <v>-2.4998100000006573E-4</v>
      </c>
      <c r="G22">
        <f>F22+[1]Sheet8!D21+[1]Sheet8!D22</f>
        <v>1.4001299999991113E-4</v>
      </c>
      <c r="H22">
        <v>5.5923399925000004</v>
      </c>
      <c r="I22" s="1">
        <f>G22*H22</f>
        <v>7.8300029936940552E-4</v>
      </c>
    </row>
    <row r="23" spans="2:9" x14ac:dyDescent="0.3">
      <c r="B23">
        <v>3.7002600000002328E-4</v>
      </c>
      <c r="C23">
        <v>1.2999999999999999E-4</v>
      </c>
      <c r="D23">
        <v>2.0998699999999482E-4</v>
      </c>
      <c r="E23">
        <v>-2.2000099999996969E-4</v>
      </c>
      <c r="F23">
        <f>[1]Sheet8!B23+[1]Sheet8!C23+[1]Sheet8!E23</f>
        <v>1.8699850000000557E-3</v>
      </c>
      <c r="G23">
        <f>F23+[1]Sheet8!D22+[1]Sheet8!D23</f>
        <v>1.3299820000000307E-3</v>
      </c>
      <c r="H23">
        <v>5.5923399925000004</v>
      </c>
      <c r="I23">
        <f>G23*H23</f>
        <v>7.4377115279053076E-3</v>
      </c>
    </row>
    <row r="24" spans="2:9" x14ac:dyDescent="0.3">
      <c r="B24">
        <v>-6.3002099999998062E-4</v>
      </c>
      <c r="C24">
        <v>-2.200010000000252E-4</v>
      </c>
      <c r="D24">
        <v>-2.0998699999998094E-4</v>
      </c>
      <c r="E24">
        <v>3.2997099999998447E-4</v>
      </c>
      <c r="F24">
        <f>[1]Sheet8!B24+[1]Sheet8!C24+[1]Sheet8!E24</f>
        <v>-1.8199679999999496E-3</v>
      </c>
      <c r="G24">
        <f>F24+[1]Sheet8!D23+[1]Sheet8!D24</f>
        <v>-1.6099659999999766E-3</v>
      </c>
      <c r="H24">
        <v>5.5923399925000004</v>
      </c>
      <c r="I24" s="1">
        <f>G24*H24</f>
        <v>-9.0034772483651247E-3</v>
      </c>
    </row>
    <row r="25" spans="2:9" x14ac:dyDescent="0.3">
      <c r="B25">
        <v>8.5997599999998453E-4</v>
      </c>
      <c r="C25">
        <v>3.1E-4</v>
      </c>
      <c r="D25">
        <v>2.0998699999999482E-4</v>
      </c>
      <c r="E25">
        <v>-4.2998800000004778E-4</v>
      </c>
      <c r="F25">
        <f>[1]Sheet8!B25+[1]Sheet8!C25+[1]Sheet8!E25</f>
        <v>1.4995599999996067E-4</v>
      </c>
      <c r="G25">
        <f>F25+[1]Sheet8!D24+[1]Sheet8!D25</f>
        <v>4.4996099999996663E-4</v>
      </c>
      <c r="H25">
        <v>5.5923399925000004</v>
      </c>
      <c r="I25">
        <f>G25*H25</f>
        <v>2.5163348953651061E-3</v>
      </c>
    </row>
    <row r="26" spans="2:9" x14ac:dyDescent="0.3">
      <c r="B26">
        <v>-1.0600090000000284E-3</v>
      </c>
      <c r="C26">
        <v>-3.8999299999997739E-4</v>
      </c>
      <c r="D26">
        <v>-1.9997400000001941E-4</v>
      </c>
      <c r="E26">
        <v>5.099769999999948E-4</v>
      </c>
      <c r="F26">
        <f>[1]Sheet8!B26+[1]Sheet8!C26+[1]Sheet8!E26</f>
        <v>1.6499799999999871E-3</v>
      </c>
      <c r="G26">
        <f>F26+[1]Sheet8!D25+[1]Sheet8!D26</f>
        <v>1.0999630000000289E-3</v>
      </c>
      <c r="H26">
        <v>5.5923399925000004</v>
      </c>
      <c r="I26" s="1">
        <f>G26*H26</f>
        <v>6.1513670751704389E-3</v>
      </c>
    </row>
    <row r="27" spans="2:9" x14ac:dyDescent="0.3">
      <c r="B27">
        <v>1.2199880000000052E-3</v>
      </c>
      <c r="C27">
        <v>4.4999999999999999E-4</v>
      </c>
      <c r="D27">
        <v>1.8000600000001032E-4</v>
      </c>
      <c r="E27">
        <v>-5.6999899999998771E-4</v>
      </c>
      <c r="F27">
        <f>[1]Sheet8!B27+[1]Sheet8!C27+[1]Sheet8!E27</f>
        <v>-1.9900490000000653E-3</v>
      </c>
      <c r="G27">
        <f>F27+[1]Sheet8!D26+[1]Sheet8!D27</f>
        <v>-1.6800450000000488E-3</v>
      </c>
      <c r="H27">
        <v>5.5923399925000004</v>
      </c>
      <c r="I27">
        <f>G27*H27</f>
        <v>-9.3953828426999366E-3</v>
      </c>
    </row>
    <row r="28" spans="2:9" x14ac:dyDescent="0.3">
      <c r="B28">
        <v>-1.3399720000000226E-3</v>
      </c>
      <c r="C28">
        <v>-4.9000999999998518E-4</v>
      </c>
      <c r="D28">
        <v>-1.5997899999999066E-4</v>
      </c>
      <c r="E28">
        <v>6.0999399999994708E-4</v>
      </c>
      <c r="F28">
        <f>[1]Sheet8!B28+[1]Sheet8!C28+[1]Sheet8!E28</f>
        <v>5.4998300000000714E-4</v>
      </c>
      <c r="G28">
        <f>F28+[1]Sheet8!D27+[1]Sheet8!D28</f>
        <v>7.5996999999998808E-4</v>
      </c>
      <c r="H28">
        <v>5.5923399925000004</v>
      </c>
      <c r="I28" s="1">
        <f>G28*H28</f>
        <v>4.250010624100159E-3</v>
      </c>
    </row>
    <row r="29" spans="2:9" x14ac:dyDescent="0.3">
      <c r="B29">
        <v>1.3999940000000155E-3</v>
      </c>
      <c r="C29">
        <v>5.1999999999999995E-4</v>
      </c>
      <c r="D29">
        <v>1.2999800000002004E-4</v>
      </c>
      <c r="E29">
        <v>-6.3002099999998062E-4</v>
      </c>
      <c r="F29">
        <f>[1]Sheet8!B29+[1]Sheet8!C29+[1]Sheet8!E29</f>
        <v>1.3699540000001028E-3</v>
      </c>
      <c r="G29">
        <f>F29+[1]Sheet8!D28+[1]Sheet8!D29</f>
        <v>8.2992850000008968E-4</v>
      </c>
      <c r="H29">
        <v>5.5923399925000004</v>
      </c>
      <c r="I29">
        <f>G29*H29</f>
        <v>4.641242341466038E-3</v>
      </c>
    </row>
    <row r="30" spans="2:9" x14ac:dyDescent="0.3">
      <c r="B30">
        <v>-1.3999940000000155E-3</v>
      </c>
      <c r="C30">
        <v>-5.1999099999999743E-4</v>
      </c>
      <c r="D30">
        <v>-9.0002999999977407E-5</v>
      </c>
      <c r="E30">
        <v>6.2000799999994971E-4</v>
      </c>
      <c r="F30">
        <f>[1]Sheet8!B30+[1]Sheet8!C30+[1]Sheet8!E30</f>
        <v>-2.0800229999999309E-3</v>
      </c>
      <c r="G30">
        <f>F30+[1]Sheet8!D29+[1]Sheet8!D30</f>
        <v>-1.6900364999999501E-3</v>
      </c>
      <c r="H30">
        <v>5.5923399925000004</v>
      </c>
      <c r="I30" s="1">
        <f>G30*H30</f>
        <v>-9.451258707734448E-3</v>
      </c>
    </row>
    <row r="31" spans="2:9" x14ac:dyDescent="0.3">
      <c r="B31">
        <v>1.3599989999999451E-3</v>
      </c>
      <c r="C31">
        <v>5.1000000000000004E-4</v>
      </c>
      <c r="D31">
        <v>5.0007999999990282E-5</v>
      </c>
      <c r="E31">
        <v>-5.9002600000002126E-4</v>
      </c>
      <c r="F31">
        <f>[1]Sheet8!B31+[1]Sheet8!C31+[1]Sheet8!E31</f>
        <v>9.3004200000000386E-4</v>
      </c>
      <c r="G31">
        <f>F31+[1]Sheet8!D30+[1]Sheet8!D31</f>
        <v>1.0400205000000002E-3</v>
      </c>
      <c r="H31">
        <v>5.5923399925000004</v>
      </c>
      <c r="I31">
        <f>G31*H31</f>
        <v>5.8161482351698473E-3</v>
      </c>
    </row>
    <row r="32" spans="2:9" x14ac:dyDescent="0.3">
      <c r="B32">
        <v>-1.2599829999999645E-3</v>
      </c>
      <c r="C32">
        <v>-4.6998300000000715E-4</v>
      </c>
      <c r="D32">
        <v>-1.0014000000002632E-5</v>
      </c>
      <c r="E32">
        <v>5.3000500000000006E-4</v>
      </c>
      <c r="F32">
        <f>[1]Sheet8!B32+[1]Sheet8!C32+[1]Sheet8!E32</f>
        <v>1.0300009999999547E-3</v>
      </c>
      <c r="G32">
        <f>F32+[1]Sheet8!D31+[1]Sheet8!D32</f>
        <v>5.2998549999997628E-4</v>
      </c>
      <c r="H32">
        <v>5.5923399925000004</v>
      </c>
      <c r="I32" s="1">
        <f>G32*H32</f>
        <v>2.9638591070949762E-3</v>
      </c>
    </row>
    <row r="33" spans="2:9" x14ac:dyDescent="0.3">
      <c r="B33">
        <v>1.1100170000000187E-3</v>
      </c>
      <c r="C33">
        <v>4.2000000000000002E-4</v>
      </c>
      <c r="D33">
        <v>-3.0018500000020265E-5</v>
      </c>
      <c r="E33">
        <v>-4.6002899999997293E-4</v>
      </c>
      <c r="F33">
        <f>[1]Sheet8!B33+[1]Sheet8!C33+[1]Sheet8!E33</f>
        <v>-2.090003999999957E-3</v>
      </c>
      <c r="G33">
        <f>F33+[1]Sheet8!D32+[1]Sheet8!D33</f>
        <v>-1.6300199999999604E-3</v>
      </c>
      <c r="H33">
        <v>5.5923399925000004</v>
      </c>
      <c r="I33">
        <f>G33*H33</f>
        <v>-9.1156260345746296E-3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B7856-195D-4AB9-81C8-6E3333A899FF}">
  <dimension ref="B1:R33"/>
  <sheetViews>
    <sheetView tabSelected="1" zoomScale="55" zoomScaleNormal="55" workbookViewId="0">
      <selection activeCell="R2" sqref="R2:R33"/>
    </sheetView>
  </sheetViews>
  <sheetFormatPr defaultRowHeight="14" x14ac:dyDescent="0.3"/>
  <sheetData>
    <row r="1" spans="2:18" x14ac:dyDescent="0.3">
      <c r="B1" t="s">
        <v>0</v>
      </c>
      <c r="C1" t="s">
        <v>1</v>
      </c>
      <c r="D1" t="s">
        <v>2</v>
      </c>
      <c r="E1" t="s">
        <v>3</v>
      </c>
    </row>
    <row r="2" spans="2:18" x14ac:dyDescent="0.3">
      <c r="B2">
        <v>-9.1999799999997744E-4</v>
      </c>
      <c r="C2">
        <v>-3.4999800000001802E-4</v>
      </c>
      <c r="D2">
        <v>6.9976000000027128E-5</v>
      </c>
      <c r="E2">
        <v>3.6001200000002065E-4</v>
      </c>
      <c r="F2" s="1">
        <v>3.8379400000000001</v>
      </c>
      <c r="G2" s="1">
        <v>6.7478899999999999</v>
      </c>
      <c r="H2" s="1">
        <v>-4.17157</v>
      </c>
      <c r="I2" s="1">
        <v>-2.2427100000000002</v>
      </c>
      <c r="J2">
        <f>B2*F2</f>
        <v>-3.5308971241199134E-3</v>
      </c>
      <c r="K2">
        <f t="shared" ref="K2:M17" si="0">C2*G2</f>
        <v>-2.3617480042201215E-3</v>
      </c>
      <c r="L2" s="2">
        <f t="shared" si="0"/>
        <v>-2.9190978232011318E-4</v>
      </c>
      <c r="M2">
        <f>E2*I2</f>
        <v>-8.074025125200464E-4</v>
      </c>
      <c r="N2">
        <f>J2+K2+M2</f>
        <v>-6.7000476408600809E-3</v>
      </c>
      <c r="O2">
        <f>N2+L2+L33</f>
        <v>-6.8667331491351095E-3</v>
      </c>
      <c r="P2">
        <v>5.5923399925000004</v>
      </c>
      <c r="Q2">
        <v>61.229218359897359</v>
      </c>
      <c r="R2">
        <f>O2*P2*1602/Q2</f>
        <v>-1.0047257520680943</v>
      </c>
    </row>
    <row r="3" spans="2:18" x14ac:dyDescent="0.3">
      <c r="B3">
        <v>6.9999700000000775E-4</v>
      </c>
      <c r="C3">
        <v>2.7E-4</v>
      </c>
      <c r="D3">
        <v>-1.1001499999999109E-4</v>
      </c>
      <c r="E3">
        <v>-2.5999499999995734E-4</v>
      </c>
      <c r="F3" s="1">
        <v>3.8379400000000001</v>
      </c>
      <c r="G3" s="1">
        <v>6.7478899999999999</v>
      </c>
      <c r="H3" s="1">
        <v>-4.17157</v>
      </c>
      <c r="I3" s="1">
        <v>-2.2427100000000002</v>
      </c>
      <c r="J3">
        <f t="shared" ref="J3:M18" si="1">B3*F3</f>
        <v>2.68654648618003E-3</v>
      </c>
      <c r="K3">
        <f t="shared" si="0"/>
        <v>1.8219302999999999E-3</v>
      </c>
      <c r="L3" s="2">
        <f t="shared" si="0"/>
        <v>4.5893527354996284E-4</v>
      </c>
      <c r="M3">
        <f t="shared" si="0"/>
        <v>5.8309338644990443E-4</v>
      </c>
      <c r="N3">
        <f t="shared" ref="N3:N33" si="2">J3+K3+M3</f>
        <v>5.0915701726299348E-3</v>
      </c>
      <c r="O3">
        <f>N3+L2+L3</f>
        <v>5.2585956638597844E-3</v>
      </c>
      <c r="P3">
        <v>5.5923399925000004</v>
      </c>
      <c r="Q3">
        <v>61.229218359897359</v>
      </c>
      <c r="R3">
        <f t="shared" ref="R3:R33" si="3">O3*P3*1602/Q3</f>
        <v>0.76942650434275461</v>
      </c>
    </row>
    <row r="4" spans="2:18" x14ac:dyDescent="0.3">
      <c r="B4">
        <v>-4.4000099999996767E-4</v>
      </c>
      <c r="C4">
        <v>-1.6999200000000769E-4</v>
      </c>
      <c r="D4">
        <v>1.5002500000002583E-4</v>
      </c>
      <c r="E4">
        <v>1.4001100000005096E-4</v>
      </c>
      <c r="F4" s="1">
        <v>3.8379400000000001</v>
      </c>
      <c r="G4" s="1">
        <v>6.7478899999999999</v>
      </c>
      <c r="H4" s="1">
        <v>-4.17157</v>
      </c>
      <c r="I4" s="1">
        <v>-2.2427100000000002</v>
      </c>
      <c r="J4">
        <f t="shared" si="1"/>
        <v>-1.6886974379398761E-3</v>
      </c>
      <c r="K4">
        <f t="shared" si="0"/>
        <v>-1.1470873168800519E-3</v>
      </c>
      <c r="L4" s="2">
        <f t="shared" si="0"/>
        <v>-6.2583978925010776E-4</v>
      </c>
      <c r="M4">
        <f t="shared" si="0"/>
        <v>-3.1400406981011428E-4</v>
      </c>
      <c r="N4">
        <f t="shared" si="2"/>
        <v>-3.1497888246300424E-3</v>
      </c>
      <c r="O4">
        <f t="shared" ref="O4:O33" si="4">N4+L3+L4</f>
        <v>-3.3166933403301875E-3</v>
      </c>
      <c r="P4">
        <v>5.5923399925000004</v>
      </c>
      <c r="Q4">
        <v>61.229218359897359</v>
      </c>
      <c r="R4">
        <f t="shared" si="3"/>
        <v>-0.48529149718920012</v>
      </c>
    </row>
    <row r="5" spans="2:18" x14ac:dyDescent="0.3">
      <c r="B5">
        <v>1.6999200000000769E-4</v>
      </c>
      <c r="C5">
        <v>8.0000000000000007E-5</v>
      </c>
      <c r="D5">
        <v>-1.6999950000000374E-4</v>
      </c>
      <c r="E5">
        <v>-2.0027000000033546E-5</v>
      </c>
      <c r="F5" s="1">
        <v>3.8379400000000001</v>
      </c>
      <c r="G5" s="1">
        <v>6.7478899999999999</v>
      </c>
      <c r="H5" s="1">
        <v>-4.17157</v>
      </c>
      <c r="I5" s="1">
        <v>-2.2427100000000002</v>
      </c>
      <c r="J5">
        <f t="shared" si="1"/>
        <v>6.5241909648002959E-4</v>
      </c>
      <c r="K5">
        <f t="shared" si="0"/>
        <v>5.3983120000000002E-4</v>
      </c>
      <c r="L5" s="2">
        <f t="shared" si="0"/>
        <v>7.0916481421501559E-4</v>
      </c>
      <c r="M5">
        <f t="shared" si="0"/>
        <v>4.4914753170075234E-5</v>
      </c>
      <c r="N5">
        <f t="shared" si="2"/>
        <v>1.2371650496501047E-3</v>
      </c>
      <c r="O5">
        <f t="shared" si="4"/>
        <v>1.3204900746150126E-3</v>
      </c>
      <c r="P5">
        <v>5.5923399925000004</v>
      </c>
      <c r="Q5">
        <v>61.229218359897359</v>
      </c>
      <c r="R5">
        <f t="shared" si="3"/>
        <v>0.19321129196394202</v>
      </c>
    </row>
    <row r="6" spans="2:18" x14ac:dyDescent="0.3">
      <c r="B6">
        <v>1E-4</v>
      </c>
      <c r="C6">
        <v>2.9980999999956737E-5</v>
      </c>
      <c r="D6">
        <v>1.9997400000001941E-4</v>
      </c>
      <c r="E6">
        <v>-9.9987000000023585E-5</v>
      </c>
      <c r="F6" s="1">
        <v>3.8379400000000001</v>
      </c>
      <c r="G6" s="1">
        <v>6.7478899999999999</v>
      </c>
      <c r="H6" s="1">
        <v>-4.17157</v>
      </c>
      <c r="I6" s="1">
        <v>-2.2427100000000002</v>
      </c>
      <c r="J6">
        <f t="shared" si="1"/>
        <v>3.8379400000000002E-4</v>
      </c>
      <c r="K6">
        <f t="shared" si="0"/>
        <v>2.0230849008970808E-4</v>
      </c>
      <c r="L6" s="2">
        <f t="shared" si="0"/>
        <v>-8.3420553918008098E-4</v>
      </c>
      <c r="M6">
        <f t="shared" si="0"/>
        <v>2.2424184477005292E-4</v>
      </c>
      <c r="N6">
        <f t="shared" si="2"/>
        <v>8.1034433485976097E-4</v>
      </c>
      <c r="O6">
        <f t="shared" si="4"/>
        <v>6.8530360989469546E-4</v>
      </c>
      <c r="P6">
        <v>5.5923399925000004</v>
      </c>
      <c r="Q6">
        <v>61.229218359897359</v>
      </c>
      <c r="R6">
        <f t="shared" si="3"/>
        <v>0.10027216288915383</v>
      </c>
    </row>
    <row r="7" spans="2:18" x14ac:dyDescent="0.3">
      <c r="B7">
        <v>-3.6999599999998356E-4</v>
      </c>
      <c r="C7">
        <v>-1.2999800000002004E-4</v>
      </c>
      <c r="D7">
        <v>-2.0999449999997699E-4</v>
      </c>
      <c r="E7">
        <v>2.2000000000000001E-4</v>
      </c>
      <c r="F7" s="1">
        <v>3.8379400000000001</v>
      </c>
      <c r="G7" s="1">
        <v>6.7478899999999999</v>
      </c>
      <c r="H7" s="1">
        <v>-4.17157</v>
      </c>
      <c r="I7" s="1">
        <v>-2.2427100000000002</v>
      </c>
      <c r="J7">
        <f t="shared" si="1"/>
        <v>-1.4200224482399369E-3</v>
      </c>
      <c r="K7">
        <f t="shared" si="0"/>
        <v>-8.772122042201352E-4</v>
      </c>
      <c r="L7" s="2">
        <f t="shared" si="0"/>
        <v>8.7600675636490401E-4</v>
      </c>
      <c r="M7">
        <f t="shared" si="0"/>
        <v>-4.9339620000000007E-4</v>
      </c>
      <c r="N7">
        <f t="shared" si="2"/>
        <v>-2.7906308524600723E-3</v>
      </c>
      <c r="O7">
        <f t="shared" si="4"/>
        <v>-2.7488296352752494E-3</v>
      </c>
      <c r="P7">
        <v>5.5923399925000004</v>
      </c>
      <c r="Q7">
        <v>61.229218359897402</v>
      </c>
      <c r="R7">
        <f t="shared" si="3"/>
        <v>-0.40220289075262089</v>
      </c>
    </row>
    <row r="8" spans="2:18" x14ac:dyDescent="0.3">
      <c r="B8">
        <v>6.3000000000000003E-4</v>
      </c>
      <c r="C8">
        <v>2.2000099999996969E-4</v>
      </c>
      <c r="D8">
        <v>2.0998699999999482E-4</v>
      </c>
      <c r="E8">
        <v>-3.3000100000002419E-4</v>
      </c>
      <c r="F8" s="1">
        <v>3.8379400000000001</v>
      </c>
      <c r="G8" s="1">
        <v>6.7478899999999999</v>
      </c>
      <c r="H8" s="1">
        <v>-4.17157</v>
      </c>
      <c r="I8" s="1">
        <v>-2.2427100000000002</v>
      </c>
      <c r="J8">
        <f t="shared" si="1"/>
        <v>2.4179022000000001E-3</v>
      </c>
      <c r="K8">
        <f t="shared" si="0"/>
        <v>1.4845425478897955E-3</v>
      </c>
      <c r="L8" s="2">
        <f t="shared" si="0"/>
        <v>-8.7597546958997842E-4</v>
      </c>
      <c r="M8">
        <f t="shared" si="0"/>
        <v>7.4009654271005429E-4</v>
      </c>
      <c r="N8">
        <f t="shared" si="2"/>
        <v>4.6425412905998498E-3</v>
      </c>
      <c r="O8">
        <f t="shared" si="4"/>
        <v>4.6425725773747758E-3</v>
      </c>
      <c r="P8">
        <v>5.5923399925000004</v>
      </c>
      <c r="Q8">
        <v>61.229218359897402</v>
      </c>
      <c r="R8">
        <f t="shared" si="3"/>
        <v>0.67929131990822922</v>
      </c>
    </row>
    <row r="9" spans="2:18" x14ac:dyDescent="0.3">
      <c r="B9">
        <v>-8.6000600000002425E-4</v>
      </c>
      <c r="C9">
        <v>-3.1000400000003037E-4</v>
      </c>
      <c r="D9">
        <v>-2.0999449999997699E-4</v>
      </c>
      <c r="E9">
        <v>4.2999999999999999E-4</v>
      </c>
      <c r="F9" s="1">
        <v>3.8379400000000001</v>
      </c>
      <c r="G9" s="1">
        <v>6.7478899999999999</v>
      </c>
      <c r="H9" s="1">
        <v>-4.17157</v>
      </c>
      <c r="I9" s="1">
        <v>-2.2427100000000002</v>
      </c>
      <c r="J9">
        <f t="shared" si="1"/>
        <v>-3.300651427640093E-3</v>
      </c>
      <c r="K9">
        <f t="shared" si="0"/>
        <v>-2.0918728915602048E-3</v>
      </c>
      <c r="L9" s="2">
        <f t="shared" si="0"/>
        <v>8.7600675636490401E-4</v>
      </c>
      <c r="M9">
        <f t="shared" si="0"/>
        <v>-9.6436530000000012E-4</v>
      </c>
      <c r="N9">
        <f t="shared" si="2"/>
        <v>-6.3568896192002979E-3</v>
      </c>
      <c r="O9">
        <f t="shared" si="4"/>
        <v>-6.3568583324253719E-3</v>
      </c>
      <c r="P9">
        <v>5.5923399925000004</v>
      </c>
      <c r="Q9">
        <v>61.229218359897402</v>
      </c>
      <c r="R9">
        <f t="shared" si="3"/>
        <v>-0.93012195612128368</v>
      </c>
    </row>
    <row r="10" spans="2:18" x14ac:dyDescent="0.3">
      <c r="B10">
        <v>1.06E-3</v>
      </c>
      <c r="C10">
        <v>3.8999299999997739E-4</v>
      </c>
      <c r="D10">
        <v>1.9997400000001941E-4</v>
      </c>
      <c r="E10">
        <v>-5.10006999999979E-4</v>
      </c>
      <c r="F10" s="1">
        <v>3.8379400000000001</v>
      </c>
      <c r="G10" s="1">
        <v>6.7478899999999999</v>
      </c>
      <c r="H10" s="1">
        <v>-4.17157</v>
      </c>
      <c r="I10" s="1">
        <v>-2.2427100000000002</v>
      </c>
      <c r="J10">
        <f t="shared" si="1"/>
        <v>4.0682163999999996E-3</v>
      </c>
      <c r="K10">
        <f t="shared" si="0"/>
        <v>2.6316298647698472E-3</v>
      </c>
      <c r="L10" s="2">
        <f t="shared" si="0"/>
        <v>-8.3420553918008098E-4</v>
      </c>
      <c r="M10">
        <f t="shared" si="0"/>
        <v>1.1437977989699529E-3</v>
      </c>
      <c r="N10">
        <f t="shared" si="2"/>
        <v>7.8436440637398002E-3</v>
      </c>
      <c r="O10">
        <f t="shared" si="4"/>
        <v>7.8854452809246217E-3</v>
      </c>
      <c r="P10">
        <v>5.5923399925000004</v>
      </c>
      <c r="Q10">
        <v>61.229218359897402</v>
      </c>
      <c r="R10">
        <f t="shared" si="3"/>
        <v>1.1537815389355397</v>
      </c>
    </row>
    <row r="11" spans="2:18" x14ac:dyDescent="0.3">
      <c r="B11">
        <v>-1.2199880000000052E-3</v>
      </c>
      <c r="C11">
        <v>-4.500149999999703E-4</v>
      </c>
      <c r="D11">
        <v>-1.8000600000001032E-4</v>
      </c>
      <c r="E11">
        <v>5.6999999999999998E-4</v>
      </c>
      <c r="F11" s="1">
        <v>3.8379400000000001</v>
      </c>
      <c r="G11" s="1">
        <v>6.7478899999999999</v>
      </c>
      <c r="H11" s="1">
        <v>-4.17157</v>
      </c>
      <c r="I11" s="1">
        <v>-2.2427100000000002</v>
      </c>
      <c r="J11">
        <f t="shared" si="1"/>
        <v>-4.6822407447200199E-3</v>
      </c>
      <c r="K11">
        <f t="shared" si="0"/>
        <v>-3.0366517183497994E-3</v>
      </c>
      <c r="L11" s="2">
        <f t="shared" si="0"/>
        <v>7.5090762942004309E-4</v>
      </c>
      <c r="M11">
        <f t="shared" si="0"/>
        <v>-1.2783447000000001E-3</v>
      </c>
      <c r="N11">
        <f t="shared" si="2"/>
        <v>-8.9972371630698197E-3</v>
      </c>
      <c r="O11">
        <f t="shared" si="4"/>
        <v>-9.0805350728298574E-3</v>
      </c>
      <c r="P11">
        <v>5.5923399925000004</v>
      </c>
      <c r="Q11">
        <v>61.229218359897402</v>
      </c>
      <c r="R11">
        <f t="shared" si="3"/>
        <v>-1.3286445289313176</v>
      </c>
    </row>
    <row r="12" spans="2:18" x14ac:dyDescent="0.3">
      <c r="B12">
        <v>1.34E-3</v>
      </c>
      <c r="C12">
        <v>4.9001000000004069E-4</v>
      </c>
      <c r="D12">
        <v>1.5997899999997678E-4</v>
      </c>
      <c r="E12">
        <v>-6.0999400000000259E-4</v>
      </c>
      <c r="F12" s="1">
        <v>3.8379400000000001</v>
      </c>
      <c r="G12" s="1">
        <v>6.7478899999999999</v>
      </c>
      <c r="H12" s="1">
        <v>-4.17157</v>
      </c>
      <c r="I12" s="1">
        <v>-2.2427100000000002</v>
      </c>
      <c r="J12">
        <f t="shared" si="1"/>
        <v>5.1428395999999999E-3</v>
      </c>
      <c r="K12">
        <f t="shared" si="0"/>
        <v>3.3065335789002745E-3</v>
      </c>
      <c r="L12" s="2">
        <f t="shared" si="0"/>
        <v>-6.6736359702990308E-4</v>
      </c>
      <c r="M12">
        <f t="shared" si="0"/>
        <v>1.3680396437400059E-3</v>
      </c>
      <c r="N12">
        <f t="shared" si="2"/>
        <v>9.8174128226402799E-3</v>
      </c>
      <c r="O12">
        <f t="shared" si="4"/>
        <v>9.9009568550304187E-3</v>
      </c>
      <c r="P12">
        <v>5.5923399925000004</v>
      </c>
      <c r="Q12">
        <v>61.229218359897402</v>
      </c>
      <c r="R12">
        <f t="shared" si="3"/>
        <v>1.4486868946723439</v>
      </c>
    </row>
    <row r="13" spans="2:18" x14ac:dyDescent="0.3">
      <c r="B13">
        <v>-1.3999940000000155E-3</v>
      </c>
      <c r="C13">
        <v>-5.1999099999999743E-4</v>
      </c>
      <c r="D13">
        <v>-1.2999800000000616E-4</v>
      </c>
      <c r="E13">
        <v>6.3000000000000003E-4</v>
      </c>
      <c r="F13" s="1">
        <v>3.8379400000000001</v>
      </c>
      <c r="G13" s="1">
        <v>6.7478899999999999</v>
      </c>
      <c r="H13" s="1">
        <v>-4.17157</v>
      </c>
      <c r="I13" s="1">
        <v>-2.2427100000000002</v>
      </c>
      <c r="J13">
        <f t="shared" si="1"/>
        <v>-5.37309297236006E-3</v>
      </c>
      <c r="K13">
        <f t="shared" si="0"/>
        <v>-3.5088420689899824E-3</v>
      </c>
      <c r="L13" s="2">
        <f t="shared" si="0"/>
        <v>5.4229575686002575E-4</v>
      </c>
      <c r="M13">
        <f t="shared" si="0"/>
        <v>-1.4129073000000002E-3</v>
      </c>
      <c r="N13">
        <f t="shared" si="2"/>
        <v>-1.0294842341350042E-2</v>
      </c>
      <c r="O13">
        <f t="shared" si="4"/>
        <v>-1.041991018151992E-2</v>
      </c>
      <c r="P13">
        <v>5.5923399925000004</v>
      </c>
      <c r="Q13">
        <v>61.229218359897402</v>
      </c>
      <c r="R13">
        <f t="shared" si="3"/>
        <v>-1.5246190388115224</v>
      </c>
    </row>
    <row r="14" spans="2:18" x14ac:dyDescent="0.3">
      <c r="B14">
        <v>1.4E-3</v>
      </c>
      <c r="C14">
        <v>5.1999099999999743E-4</v>
      </c>
      <c r="D14">
        <v>9.0002999999977407E-5</v>
      </c>
      <c r="E14">
        <v>-6.2000800000000522E-4</v>
      </c>
      <c r="F14" s="1">
        <v>3.8379400000000001</v>
      </c>
      <c r="G14" s="1">
        <v>6.7478899999999999</v>
      </c>
      <c r="H14" s="1">
        <v>-4.17157</v>
      </c>
      <c r="I14" s="1">
        <v>-2.2427100000000002</v>
      </c>
      <c r="J14">
        <f t="shared" si="1"/>
        <v>5.3731159999999998E-3</v>
      </c>
      <c r="K14">
        <f t="shared" si="0"/>
        <v>3.5088420689899824E-3</v>
      </c>
      <c r="L14" s="2">
        <f t="shared" si="0"/>
        <v>-3.7545381470990575E-4</v>
      </c>
      <c r="M14">
        <f t="shared" si="0"/>
        <v>1.3904981416800119E-3</v>
      </c>
      <c r="N14">
        <f t="shared" si="2"/>
        <v>1.0272456210669995E-2</v>
      </c>
      <c r="O14">
        <f t="shared" si="4"/>
        <v>1.0439298152820116E-2</v>
      </c>
      <c r="P14">
        <v>5.5923399925000004</v>
      </c>
      <c r="Q14">
        <v>61.229218359897402</v>
      </c>
      <c r="R14">
        <f t="shared" si="3"/>
        <v>1.5274558454301277</v>
      </c>
    </row>
    <row r="15" spans="2:18" x14ac:dyDescent="0.3">
      <c r="B15">
        <v>-1.3599990000000006E-3</v>
      </c>
      <c r="C15">
        <v>-5.099769999999948E-4</v>
      </c>
      <c r="D15">
        <v>-5.000049999999423E-5</v>
      </c>
      <c r="E15">
        <v>5.9000000000000003E-4</v>
      </c>
      <c r="F15" s="1">
        <v>3.8379400000000001</v>
      </c>
      <c r="G15" s="1">
        <v>6.7478899999999999</v>
      </c>
      <c r="H15" s="1">
        <v>-4.17157</v>
      </c>
      <c r="I15" s="1">
        <v>-2.2427100000000002</v>
      </c>
      <c r="J15">
        <f t="shared" si="1"/>
        <v>-5.2195945620600029E-3</v>
      </c>
      <c r="K15">
        <f t="shared" si="0"/>
        <v>-3.4412686985299647E-3</v>
      </c>
      <c r="L15" s="2">
        <f t="shared" si="0"/>
        <v>2.0858058578497593E-4</v>
      </c>
      <c r="M15">
        <f t="shared" si="0"/>
        <v>-1.3231989000000001E-3</v>
      </c>
      <c r="N15">
        <f t="shared" si="2"/>
        <v>-9.9840621605899668E-3</v>
      </c>
      <c r="O15">
        <f t="shared" si="4"/>
        <v>-1.0150935389514896E-2</v>
      </c>
      <c r="P15">
        <v>5.5923399925000004</v>
      </c>
      <c r="Q15">
        <v>61.229218359897402</v>
      </c>
      <c r="R15">
        <f t="shared" si="3"/>
        <v>-1.4852632207951131</v>
      </c>
    </row>
    <row r="16" spans="2:18" x14ac:dyDescent="0.3">
      <c r="B16">
        <v>1.2600000000000001E-3</v>
      </c>
      <c r="C16">
        <v>4.6998300000000715E-4</v>
      </c>
      <c r="D16">
        <v>1.0014000000002632E-5</v>
      </c>
      <c r="E16">
        <v>-5.3000500000000006E-4</v>
      </c>
      <c r="F16" s="1">
        <v>3.8379400000000001</v>
      </c>
      <c r="G16" s="1">
        <v>6.7478899999999999</v>
      </c>
      <c r="H16" s="1">
        <v>-4.17157</v>
      </c>
      <c r="I16" s="1">
        <v>-2.2427100000000002</v>
      </c>
      <c r="J16">
        <f t="shared" si="1"/>
        <v>4.8358044000000001E-3</v>
      </c>
      <c r="K16">
        <f t="shared" si="0"/>
        <v>3.171393585870048E-3</v>
      </c>
      <c r="L16" s="2">
        <f t="shared" si="0"/>
        <v>-4.177410198001098E-5</v>
      </c>
      <c r="M16">
        <f t="shared" si="0"/>
        <v>1.1886475135500002E-3</v>
      </c>
      <c r="N16">
        <f t="shared" si="2"/>
        <v>9.1958454994200481E-3</v>
      </c>
      <c r="O16">
        <f t="shared" si="4"/>
        <v>9.3626519832250132E-3</v>
      </c>
      <c r="P16">
        <v>5.5923399925000004</v>
      </c>
      <c r="Q16">
        <v>61.229218359897402</v>
      </c>
      <c r="R16">
        <f t="shared" si="3"/>
        <v>1.3699232736869082</v>
      </c>
    </row>
    <row r="17" spans="2:18" x14ac:dyDescent="0.3">
      <c r="B17">
        <v>-1.1100170000000187E-3</v>
      </c>
      <c r="C17">
        <v>-4.1997400000004514E-4</v>
      </c>
      <c r="D17">
        <v>2.9995999999976597E-5</v>
      </c>
      <c r="E17">
        <v>4.6000000000000001E-4</v>
      </c>
      <c r="F17" s="1">
        <v>3.8379400000000001</v>
      </c>
      <c r="G17" s="1">
        <v>6.7478899999999999</v>
      </c>
      <c r="H17" s="1">
        <v>-4.17157</v>
      </c>
      <c r="I17" s="1">
        <v>-2.2427100000000002</v>
      </c>
      <c r="J17">
        <f t="shared" si="1"/>
        <v>-4.2601786449800718E-3</v>
      </c>
      <c r="K17">
        <f t="shared" si="0"/>
        <v>-2.8339383548603046E-3</v>
      </c>
      <c r="L17" s="2">
        <f t="shared" si="0"/>
        <v>-1.2513041371990237E-4</v>
      </c>
      <c r="M17">
        <f t="shared" si="0"/>
        <v>-1.0316466000000002E-3</v>
      </c>
      <c r="N17">
        <f t="shared" si="2"/>
        <v>-8.1257635998403764E-3</v>
      </c>
      <c r="O17">
        <f t="shared" si="4"/>
        <v>-8.2926681155402904E-3</v>
      </c>
      <c r="P17">
        <v>5.5923399925000004</v>
      </c>
      <c r="Q17">
        <v>61.229218359897402</v>
      </c>
      <c r="R17">
        <f t="shared" si="3"/>
        <v>-1.2133655157528218</v>
      </c>
    </row>
    <row r="18" spans="2:18" x14ac:dyDescent="0.3">
      <c r="B18">
        <v>9.2000000000000003E-4</v>
      </c>
      <c r="C18">
        <v>3.4999800000001802E-4</v>
      </c>
      <c r="D18">
        <v>-6.997600000001325E-5</v>
      </c>
      <c r="E18">
        <v>-3.6001200000002065E-4</v>
      </c>
      <c r="F18" s="1">
        <v>3.8379400000000001</v>
      </c>
      <c r="G18" s="1">
        <v>6.7478899999999999</v>
      </c>
      <c r="H18" s="1">
        <v>-4.17157</v>
      </c>
      <c r="I18" s="1">
        <v>-2.2427100000000002</v>
      </c>
      <c r="J18">
        <f t="shared" si="1"/>
        <v>3.5309048000000003E-3</v>
      </c>
      <c r="K18">
        <f t="shared" si="1"/>
        <v>2.3617480042201215E-3</v>
      </c>
      <c r="L18" s="2">
        <f t="shared" si="1"/>
        <v>2.9190978232005528E-4</v>
      </c>
      <c r="M18">
        <f t="shared" si="1"/>
        <v>8.074025125200464E-4</v>
      </c>
      <c r="N18">
        <f t="shared" si="2"/>
        <v>6.7000553167401687E-3</v>
      </c>
      <c r="O18">
        <f t="shared" si="4"/>
        <v>6.8668346853403214E-3</v>
      </c>
      <c r="P18">
        <v>5.5923399925000004</v>
      </c>
      <c r="Q18">
        <v>61.229218359897402</v>
      </c>
      <c r="R18">
        <f t="shared" si="3"/>
        <v>1.0047406086291293</v>
      </c>
    </row>
    <row r="19" spans="2:18" x14ac:dyDescent="0.3">
      <c r="B19">
        <v>-6.9999700000000775E-4</v>
      </c>
      <c r="C19">
        <v>-2.7000899999995998E-4</v>
      </c>
      <c r="D19">
        <v>1.1001499999999109E-4</v>
      </c>
      <c r="E19">
        <v>2.5999999999999998E-4</v>
      </c>
      <c r="F19" s="1">
        <v>3.8379400000000001</v>
      </c>
      <c r="G19" s="1">
        <v>6.7478899999999999</v>
      </c>
      <c r="H19" s="1">
        <v>-4.17157</v>
      </c>
      <c r="I19" s="1">
        <v>-2.2427100000000002</v>
      </c>
      <c r="J19">
        <f t="shared" ref="J19:M33" si="5">B19*F19</f>
        <v>-2.68654648618003E-3</v>
      </c>
      <c r="K19">
        <f t="shared" si="5"/>
        <v>-1.82199103100973E-3</v>
      </c>
      <c r="L19" s="2">
        <f t="shared" si="5"/>
        <v>-4.5893527354996284E-4</v>
      </c>
      <c r="M19">
        <f t="shared" si="5"/>
        <v>-5.8310459999999997E-4</v>
      </c>
      <c r="N19">
        <f t="shared" si="2"/>
        <v>-5.09164211718976E-3</v>
      </c>
      <c r="O19">
        <f t="shared" si="4"/>
        <v>-5.2586676084196678E-3</v>
      </c>
      <c r="P19">
        <v>5.5923399925000004</v>
      </c>
      <c r="Q19">
        <v>61.229218359897402</v>
      </c>
      <c r="R19">
        <f t="shared" si="3"/>
        <v>-0.76943703111734485</v>
      </c>
    </row>
    <row r="20" spans="2:18" x14ac:dyDescent="0.3">
      <c r="B20">
        <v>4.4000000000000002E-4</v>
      </c>
      <c r="C20">
        <v>1.6999200000000769E-4</v>
      </c>
      <c r="D20">
        <v>-1.5002500000002583E-4</v>
      </c>
      <c r="E20">
        <v>-1.4001099999999544E-4</v>
      </c>
      <c r="F20" s="1">
        <v>3.8379400000000001</v>
      </c>
      <c r="G20" s="1">
        <v>6.7478899999999999</v>
      </c>
      <c r="H20" s="1">
        <v>-4.17157</v>
      </c>
      <c r="I20" s="1">
        <v>-2.2427100000000002</v>
      </c>
      <c r="J20">
        <f t="shared" si="5"/>
        <v>1.6886936000000002E-3</v>
      </c>
      <c r="K20">
        <f t="shared" si="5"/>
        <v>1.1470873168800519E-3</v>
      </c>
      <c r="L20" s="2">
        <f t="shared" si="5"/>
        <v>6.2583978925010776E-4</v>
      </c>
      <c r="M20">
        <f t="shared" si="5"/>
        <v>3.1400406980998982E-4</v>
      </c>
      <c r="N20">
        <f t="shared" si="2"/>
        <v>3.1497849866900423E-3</v>
      </c>
      <c r="O20">
        <f t="shared" si="4"/>
        <v>3.316689502390187E-3</v>
      </c>
      <c r="P20">
        <v>5.5923399925000004</v>
      </c>
      <c r="Q20">
        <v>61.229218359897402</v>
      </c>
      <c r="R20">
        <f t="shared" si="3"/>
        <v>0.48529093563000275</v>
      </c>
    </row>
    <row r="21" spans="2:18" x14ac:dyDescent="0.3">
      <c r="B21">
        <v>-1.6999200000000769E-4</v>
      </c>
      <c r="C21">
        <v>-7.9988999999947019E-5</v>
      </c>
      <c r="D21">
        <v>1.6999200000000769E-4</v>
      </c>
      <c r="E21">
        <v>2.0000000000000002E-5</v>
      </c>
      <c r="F21" s="1">
        <v>3.8379400000000001</v>
      </c>
      <c r="G21" s="1">
        <v>6.7478899999999999</v>
      </c>
      <c r="H21" s="1">
        <v>-4.17157</v>
      </c>
      <c r="I21" s="1">
        <v>-2.2427100000000002</v>
      </c>
      <c r="J21">
        <f t="shared" si="5"/>
        <v>-6.5241909648002959E-4</v>
      </c>
      <c r="K21">
        <f t="shared" si="5"/>
        <v>-5.397569732096425E-4</v>
      </c>
      <c r="L21" s="2">
        <f t="shared" si="5"/>
        <v>-7.0913352744003211E-4</v>
      </c>
      <c r="M21">
        <f t="shared" si="5"/>
        <v>-4.4854200000000008E-5</v>
      </c>
      <c r="N21">
        <f t="shared" si="2"/>
        <v>-1.2370302696896721E-3</v>
      </c>
      <c r="O21">
        <f t="shared" si="4"/>
        <v>-1.3203240078795966E-3</v>
      </c>
      <c r="P21">
        <v>5.5923399925000004</v>
      </c>
      <c r="Q21">
        <v>61.229218359897402</v>
      </c>
      <c r="R21">
        <f t="shared" si="3"/>
        <v>-0.19318699343332907</v>
      </c>
    </row>
    <row r="22" spans="2:18" x14ac:dyDescent="0.3">
      <c r="B22">
        <v>-1.0001699999995228E-4</v>
      </c>
      <c r="C22">
        <v>-2.9981000000012248E-5</v>
      </c>
      <c r="D22">
        <v>-1.9997400000001941E-4</v>
      </c>
      <c r="E22">
        <v>1.0001699999995228E-4</v>
      </c>
      <c r="F22" s="1">
        <v>3.8379400000000001</v>
      </c>
      <c r="G22" s="1">
        <v>6.7478899999999999</v>
      </c>
      <c r="H22" s="1">
        <v>-4.17157</v>
      </c>
      <c r="I22" s="1">
        <v>-2.2427100000000002</v>
      </c>
      <c r="J22">
        <f t="shared" si="5"/>
        <v>-3.8385924497981688E-4</v>
      </c>
      <c r="K22">
        <f t="shared" si="5"/>
        <v>-2.0230849009008264E-4</v>
      </c>
      <c r="L22" s="2">
        <f t="shared" si="5"/>
        <v>8.3420553918008098E-4</v>
      </c>
      <c r="M22">
        <f t="shared" si="5"/>
        <v>-2.2430912606989301E-4</v>
      </c>
      <c r="N22">
        <f t="shared" si="2"/>
        <v>-8.1047686113979258E-4</v>
      </c>
      <c r="O22">
        <f t="shared" si="4"/>
        <v>-6.8540484939974382E-4</v>
      </c>
      <c r="P22">
        <v>5.5923399925000004</v>
      </c>
      <c r="Q22">
        <v>61.229218359897402</v>
      </c>
      <c r="R22">
        <f t="shared" si="3"/>
        <v>-0.10028697603765385</v>
      </c>
    </row>
    <row r="23" spans="2:18" x14ac:dyDescent="0.3">
      <c r="B23">
        <v>3.7002600000002328E-4</v>
      </c>
      <c r="C23">
        <v>1.2999999999999999E-4</v>
      </c>
      <c r="D23">
        <v>2.0998699999999482E-4</v>
      </c>
      <c r="E23">
        <v>-2.2000099999996969E-4</v>
      </c>
      <c r="F23" s="1">
        <v>3.8379400000000001</v>
      </c>
      <c r="G23" s="1">
        <v>6.7478899999999999</v>
      </c>
      <c r="H23" s="1">
        <v>-4.17157</v>
      </c>
      <c r="I23" s="1">
        <v>-2.2427100000000002</v>
      </c>
      <c r="J23">
        <f t="shared" si="5"/>
        <v>1.4201375864400893E-3</v>
      </c>
      <c r="K23">
        <f t="shared" si="5"/>
        <v>8.7722569999999995E-4</v>
      </c>
      <c r="L23" s="2">
        <f t="shared" si="5"/>
        <v>-8.7597546958997842E-4</v>
      </c>
      <c r="M23">
        <f t="shared" si="5"/>
        <v>4.9339844270993212E-4</v>
      </c>
      <c r="N23">
        <f t="shared" si="2"/>
        <v>2.7907617291500213E-3</v>
      </c>
      <c r="O23">
        <f t="shared" si="4"/>
        <v>2.7489917987401236E-3</v>
      </c>
      <c r="P23">
        <v>5.5923399925000004</v>
      </c>
      <c r="Q23">
        <v>61.229218359897402</v>
      </c>
      <c r="R23">
        <f t="shared" si="3"/>
        <v>0.40222661816501121</v>
      </c>
    </row>
    <row r="24" spans="2:18" x14ac:dyDescent="0.3">
      <c r="B24">
        <v>-6.3002099999998062E-4</v>
      </c>
      <c r="C24">
        <v>-2.200010000000252E-4</v>
      </c>
      <c r="D24">
        <v>-2.0998699999998094E-4</v>
      </c>
      <c r="E24">
        <v>3.2997099999998447E-4</v>
      </c>
      <c r="F24" s="1">
        <v>3.8379400000000001</v>
      </c>
      <c r="G24" s="1">
        <v>6.7478899999999999</v>
      </c>
      <c r="H24" s="1">
        <v>-4.17157</v>
      </c>
      <c r="I24" s="1">
        <v>-2.2427100000000002</v>
      </c>
      <c r="J24">
        <f t="shared" si="5"/>
        <v>-2.4179827967399257E-3</v>
      </c>
      <c r="K24">
        <f t="shared" si="5"/>
        <v>-1.48454254789017E-3</v>
      </c>
      <c r="L24" s="2">
        <f t="shared" si="5"/>
        <v>8.7597546958992053E-4</v>
      </c>
      <c r="M24">
        <f t="shared" si="5"/>
        <v>-7.4002926140996519E-4</v>
      </c>
      <c r="N24">
        <f t="shared" si="2"/>
        <v>-4.6425546060400611E-3</v>
      </c>
      <c r="O24">
        <f t="shared" si="4"/>
        <v>-4.6425546060401193E-3</v>
      </c>
      <c r="P24">
        <v>5.5923399925000004</v>
      </c>
      <c r="Q24">
        <v>61.229218359897402</v>
      </c>
      <c r="R24">
        <f t="shared" si="3"/>
        <v>-0.6792886903808637</v>
      </c>
    </row>
    <row r="25" spans="2:18" x14ac:dyDescent="0.3">
      <c r="B25">
        <v>8.5997599999998453E-4</v>
      </c>
      <c r="C25">
        <v>3.1E-4</v>
      </c>
      <c r="D25">
        <v>2.0998699999999482E-4</v>
      </c>
      <c r="E25">
        <v>-4.2998800000004778E-4</v>
      </c>
      <c r="F25" s="1">
        <v>3.8379400000000001</v>
      </c>
      <c r="G25" s="1">
        <v>6.7478899999999999</v>
      </c>
      <c r="H25" s="1">
        <v>-4.17157</v>
      </c>
      <c r="I25" s="1">
        <v>-2.2427100000000002</v>
      </c>
      <c r="J25">
        <f t="shared" si="5"/>
        <v>3.3005362894399409E-3</v>
      </c>
      <c r="K25">
        <f t="shared" si="5"/>
        <v>2.0918459E-3</v>
      </c>
      <c r="L25" s="2">
        <f t="shared" si="5"/>
        <v>-8.7597546958997842E-4</v>
      </c>
      <c r="M25">
        <f t="shared" si="5"/>
        <v>9.6433838748010727E-4</v>
      </c>
      <c r="N25">
        <f t="shared" si="2"/>
        <v>6.3567205769200479E-3</v>
      </c>
      <c r="O25">
        <f t="shared" si="4"/>
        <v>6.3567205769199898E-3</v>
      </c>
      <c r="P25">
        <v>5.5923399925000004</v>
      </c>
      <c r="Q25">
        <v>61.229218359897402</v>
      </c>
      <c r="R25">
        <f t="shared" si="3"/>
        <v>0.93010180002947984</v>
      </c>
    </row>
    <row r="26" spans="2:18" x14ac:dyDescent="0.3">
      <c r="B26">
        <v>-1.0600090000000284E-3</v>
      </c>
      <c r="C26">
        <v>-3.8999299999997739E-4</v>
      </c>
      <c r="D26">
        <v>-1.9997400000001941E-4</v>
      </c>
      <c r="E26">
        <v>5.099769999999948E-4</v>
      </c>
      <c r="F26" s="1">
        <v>3.8379400000000001</v>
      </c>
      <c r="G26" s="1">
        <v>6.7478899999999999</v>
      </c>
      <c r="H26" s="1">
        <v>-4.17157</v>
      </c>
      <c r="I26" s="1">
        <v>-2.2427100000000002</v>
      </c>
      <c r="J26">
        <f t="shared" si="5"/>
        <v>-4.0682509414601093E-3</v>
      </c>
      <c r="K26">
        <f t="shared" si="5"/>
        <v>-2.6316298647698472E-3</v>
      </c>
      <c r="L26" s="2">
        <f t="shared" si="5"/>
        <v>8.3420553918008098E-4</v>
      </c>
      <c r="M26">
        <f t="shared" si="5"/>
        <v>-1.1437305176699884E-3</v>
      </c>
      <c r="N26">
        <f t="shared" si="2"/>
        <v>-7.8436113238999454E-3</v>
      </c>
      <c r="O26">
        <f t="shared" si="4"/>
        <v>-7.8853812543098444E-3</v>
      </c>
      <c r="P26">
        <v>5.5923399925000004</v>
      </c>
      <c r="Q26">
        <v>61.229218359897402</v>
      </c>
      <c r="R26">
        <f t="shared" si="3"/>
        <v>-1.1537721706977928</v>
      </c>
    </row>
    <row r="27" spans="2:18" x14ac:dyDescent="0.3">
      <c r="B27">
        <v>1.2199880000000052E-3</v>
      </c>
      <c r="C27">
        <v>4.4999999999999999E-4</v>
      </c>
      <c r="D27">
        <v>1.8000600000001032E-4</v>
      </c>
      <c r="E27">
        <v>-5.6999899999998771E-4</v>
      </c>
      <c r="F27" s="1">
        <v>3.8379400000000001</v>
      </c>
      <c r="G27" s="1">
        <v>6.7478899999999999</v>
      </c>
      <c r="H27" s="1">
        <v>-4.17157</v>
      </c>
      <c r="I27" s="1">
        <v>-2.2427100000000002</v>
      </c>
      <c r="J27">
        <f t="shared" si="5"/>
        <v>4.6822407447200199E-3</v>
      </c>
      <c r="K27">
        <f t="shared" si="5"/>
        <v>3.0365505E-3</v>
      </c>
      <c r="L27" s="2">
        <f t="shared" si="5"/>
        <v>-7.5090762942004309E-4</v>
      </c>
      <c r="M27">
        <f t="shared" si="5"/>
        <v>1.2783424572899726E-3</v>
      </c>
      <c r="N27">
        <f t="shared" si="2"/>
        <v>8.9971337020099927E-3</v>
      </c>
      <c r="O27">
        <f t="shared" si="4"/>
        <v>9.0804316117700304E-3</v>
      </c>
      <c r="P27">
        <v>5.5923399925000004</v>
      </c>
      <c r="Q27">
        <v>61.229218359897402</v>
      </c>
      <c r="R27">
        <f t="shared" si="3"/>
        <v>1.3286293907296596</v>
      </c>
    </row>
    <row r="28" spans="2:18" x14ac:dyDescent="0.3">
      <c r="B28">
        <v>-1.3399720000000226E-3</v>
      </c>
      <c r="C28">
        <v>-4.9000999999998518E-4</v>
      </c>
      <c r="D28">
        <v>-1.5997899999999066E-4</v>
      </c>
      <c r="E28">
        <v>6.0999399999994708E-4</v>
      </c>
      <c r="F28" s="1">
        <v>3.8379400000000001</v>
      </c>
      <c r="G28" s="1">
        <v>6.7478899999999999</v>
      </c>
      <c r="H28" s="1">
        <v>-4.17157</v>
      </c>
      <c r="I28" s="1">
        <v>-2.2427100000000002</v>
      </c>
      <c r="J28">
        <f t="shared" si="5"/>
        <v>-5.1427321376800866E-3</v>
      </c>
      <c r="K28">
        <f t="shared" si="5"/>
        <v>-3.3065335788998998E-3</v>
      </c>
      <c r="L28" s="2">
        <f t="shared" si="5"/>
        <v>6.6736359702996098E-4</v>
      </c>
      <c r="M28">
        <f t="shared" si="5"/>
        <v>-1.3680396437398814E-3</v>
      </c>
      <c r="N28">
        <f t="shared" si="2"/>
        <v>-9.8173053603198696E-3</v>
      </c>
      <c r="O28">
        <f t="shared" si="4"/>
        <v>-9.9008493927099511E-3</v>
      </c>
      <c r="P28">
        <v>5.5923399925000004</v>
      </c>
      <c r="Q28">
        <v>61.229218359897402</v>
      </c>
      <c r="R28">
        <f t="shared" si="3"/>
        <v>-1.4486711710147611</v>
      </c>
    </row>
    <row r="29" spans="2:18" x14ac:dyDescent="0.3">
      <c r="B29">
        <v>1.3999940000000155E-3</v>
      </c>
      <c r="C29">
        <v>5.1999999999999995E-4</v>
      </c>
      <c r="D29">
        <v>1.2999800000002004E-4</v>
      </c>
      <c r="E29">
        <v>-6.3002099999998062E-4</v>
      </c>
      <c r="F29" s="1">
        <v>3.8379400000000001</v>
      </c>
      <c r="G29" s="1">
        <v>6.7478899999999999</v>
      </c>
      <c r="H29" s="1">
        <v>-4.17157</v>
      </c>
      <c r="I29" s="1">
        <v>-2.2427100000000002</v>
      </c>
      <c r="J29">
        <f t="shared" si="5"/>
        <v>5.37309297236006E-3</v>
      </c>
      <c r="K29">
        <f t="shared" si="5"/>
        <v>3.5089027999999998E-3</v>
      </c>
      <c r="L29" s="2">
        <f t="shared" si="5"/>
        <v>-5.4229575686008365E-4</v>
      </c>
      <c r="M29">
        <f t="shared" si="5"/>
        <v>1.4129543969099566E-3</v>
      </c>
      <c r="N29">
        <f t="shared" si="2"/>
        <v>1.0294950169270017E-2</v>
      </c>
      <c r="O29">
        <f t="shared" si="4"/>
        <v>1.0420018009439895E-2</v>
      </c>
      <c r="P29">
        <v>5.5923399925000004</v>
      </c>
      <c r="Q29">
        <v>61.229218359897402</v>
      </c>
      <c r="R29">
        <f t="shared" si="3"/>
        <v>1.5246348159628458</v>
      </c>
    </row>
    <row r="30" spans="2:18" x14ac:dyDescent="0.3">
      <c r="B30">
        <v>-1.3999940000000155E-3</v>
      </c>
      <c r="C30">
        <v>-5.1999099999999743E-4</v>
      </c>
      <c r="D30">
        <v>-9.0002999999977407E-5</v>
      </c>
      <c r="E30">
        <v>6.2000799999994971E-4</v>
      </c>
      <c r="F30" s="1">
        <v>3.8379400000000001</v>
      </c>
      <c r="G30" s="1">
        <v>6.7478899999999999</v>
      </c>
      <c r="H30" s="1">
        <v>-4.17157</v>
      </c>
      <c r="I30" s="1">
        <v>-2.2427100000000002</v>
      </c>
      <c r="J30">
        <f t="shared" si="5"/>
        <v>-5.37309297236006E-3</v>
      </c>
      <c r="K30">
        <f t="shared" si="5"/>
        <v>-3.5088420689899824E-3</v>
      </c>
      <c r="L30" s="2">
        <f t="shared" si="5"/>
        <v>3.7545381470990575E-4</v>
      </c>
      <c r="M30">
        <f t="shared" si="5"/>
        <v>-1.3904981416798874E-3</v>
      </c>
      <c r="N30">
        <f t="shared" si="2"/>
        <v>-1.0272433183029929E-2</v>
      </c>
      <c r="O30">
        <f t="shared" si="4"/>
        <v>-1.0439275125180107E-2</v>
      </c>
      <c r="P30">
        <v>5.5923399925000004</v>
      </c>
      <c r="Q30">
        <v>61.229218359897402</v>
      </c>
      <c r="R30">
        <f t="shared" si="3"/>
        <v>-1.5274524760749448</v>
      </c>
    </row>
    <row r="31" spans="2:18" x14ac:dyDescent="0.3">
      <c r="B31">
        <v>1.3599989999999451E-3</v>
      </c>
      <c r="C31">
        <v>5.1000000000000004E-4</v>
      </c>
      <c r="D31">
        <v>5.0007999999990282E-5</v>
      </c>
      <c r="E31">
        <v>-5.9002600000002126E-4</v>
      </c>
      <c r="F31" s="1">
        <v>3.8379400000000001</v>
      </c>
      <c r="G31" s="1">
        <v>6.7478899999999999</v>
      </c>
      <c r="H31" s="1">
        <v>-4.17157</v>
      </c>
      <c r="I31" s="1">
        <v>-2.2427100000000002</v>
      </c>
      <c r="J31">
        <f t="shared" si="5"/>
        <v>5.2195945620597895E-3</v>
      </c>
      <c r="K31">
        <f t="shared" si="5"/>
        <v>3.4414239000000002E-3</v>
      </c>
      <c r="L31" s="2">
        <f t="shared" si="5"/>
        <v>-2.0861187255995947E-4</v>
      </c>
      <c r="M31">
        <f t="shared" si="5"/>
        <v>1.3232572104600478E-3</v>
      </c>
      <c r="N31">
        <f t="shared" si="2"/>
        <v>9.9842756725198375E-3</v>
      </c>
      <c r="O31">
        <f t="shared" si="4"/>
        <v>1.0151117614669783E-2</v>
      </c>
      <c r="P31">
        <v>5.5923399925000004</v>
      </c>
      <c r="Q31">
        <v>61.229218359897402</v>
      </c>
      <c r="R31">
        <f t="shared" si="3"/>
        <v>1.4852898835912076</v>
      </c>
    </row>
    <row r="32" spans="2:18" x14ac:dyDescent="0.3">
      <c r="B32">
        <v>-1.2599829999999645E-3</v>
      </c>
      <c r="C32">
        <v>-4.6998300000000715E-4</v>
      </c>
      <c r="D32">
        <v>-1.0014000000002632E-5</v>
      </c>
      <c r="E32">
        <v>5.3000500000000006E-4</v>
      </c>
      <c r="F32" s="1">
        <v>3.8379400000000001</v>
      </c>
      <c r="G32" s="1">
        <v>6.7478899999999999</v>
      </c>
      <c r="H32" s="1">
        <v>-4.17157</v>
      </c>
      <c r="I32" s="1">
        <v>-2.2427100000000002</v>
      </c>
      <c r="J32">
        <f t="shared" si="5"/>
        <v>-4.8357391550198645E-3</v>
      </c>
      <c r="K32">
        <f t="shared" si="5"/>
        <v>-3.171393585870048E-3</v>
      </c>
      <c r="L32" s="2">
        <f t="shared" si="5"/>
        <v>4.177410198001098E-5</v>
      </c>
      <c r="M32">
        <f t="shared" si="5"/>
        <v>-1.1886475135500002E-3</v>
      </c>
      <c r="N32">
        <f t="shared" si="2"/>
        <v>-9.1957802544399125E-3</v>
      </c>
      <c r="O32">
        <f t="shared" si="4"/>
        <v>-9.3626180250198608E-3</v>
      </c>
      <c r="P32">
        <v>5.5923399925000004</v>
      </c>
      <c r="Q32">
        <v>61.229218359897402</v>
      </c>
      <c r="R32">
        <f t="shared" si="3"/>
        <v>-1.3699183049947412</v>
      </c>
    </row>
    <row r="33" spans="2:18" x14ac:dyDescent="0.3">
      <c r="B33">
        <v>1.1100170000000187E-3</v>
      </c>
      <c r="C33">
        <v>4.2000000000000002E-4</v>
      </c>
      <c r="D33">
        <v>-3.0018500000020265E-5</v>
      </c>
      <c r="E33">
        <v>-4.6002899999997293E-4</v>
      </c>
      <c r="F33" s="1">
        <v>3.8379400000000001</v>
      </c>
      <c r="G33" s="1">
        <v>6.7478899999999999</v>
      </c>
      <c r="H33" s="1">
        <v>-4.17157</v>
      </c>
      <c r="I33" s="1">
        <v>-2.2427100000000002</v>
      </c>
      <c r="J33">
        <f t="shared" si="5"/>
        <v>4.2601786449800718E-3</v>
      </c>
      <c r="K33">
        <f t="shared" si="5"/>
        <v>2.8341137999999999E-3</v>
      </c>
      <c r="L33" s="2">
        <f t="shared" si="5"/>
        <v>1.2522427404508454E-4</v>
      </c>
      <c r="M33">
        <f t="shared" si="5"/>
        <v>1.0317116385899394E-3</v>
      </c>
      <c r="N33">
        <f t="shared" si="2"/>
        <v>8.1260040835700112E-3</v>
      </c>
      <c r="O33">
        <f t="shared" si="4"/>
        <v>8.2930024595951057E-3</v>
      </c>
      <c r="P33">
        <v>5.5923399925000004</v>
      </c>
      <c r="Q33">
        <v>61.229218359897402</v>
      </c>
      <c r="R33">
        <f t="shared" si="3"/>
        <v>1.2134144362619823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yajun zhang</cp:lastModifiedBy>
  <dcterms:created xsi:type="dcterms:W3CDTF">2015-06-05T18:19:34Z</dcterms:created>
  <dcterms:modified xsi:type="dcterms:W3CDTF">2025-04-28T14:00:53Z</dcterms:modified>
</cp:coreProperties>
</file>